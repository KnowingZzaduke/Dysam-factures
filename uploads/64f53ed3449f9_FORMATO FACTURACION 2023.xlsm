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ysam\Inventario Mayra\"/>
    </mc:Choice>
  </mc:AlternateContent>
  <xr:revisionPtr revIDLastSave="0" documentId="13_ncr:1_{72E737EE-06CB-4CA8-B7E5-A4D2AAA50891}" xr6:coauthVersionLast="47" xr6:coauthVersionMax="47" xr10:uidLastSave="{00000000-0000-0000-0000-000000000000}"/>
  <bookViews>
    <workbookView xWindow="-120" yWindow="-120" windowWidth="20730" windowHeight="11160" tabRatio="663" firstSheet="1" activeTab="1" xr2:uid="{00000000-000D-0000-FFFF-FFFF00000000}"/>
  </bookViews>
  <sheets>
    <sheet name="Hoja1" sheetId="56" state="hidden" r:id="rId1"/>
    <sheet name="CAPTURA" sheetId="93" r:id="rId2"/>
    <sheet name="Precios" sheetId="99" r:id="rId3"/>
    <sheet name="IC" sheetId="95" r:id="rId4"/>
    <sheet name="DATOS" sheetId="98" r:id="rId5"/>
    <sheet name="VR  HE" sheetId="100" state="hidden" r:id="rId6"/>
  </sheets>
  <definedNames>
    <definedName name="_xlnm._FilterDatabase" localSheetId="4" hidden="1">DATOS!$A$1:$G$80</definedName>
    <definedName name="_xlnm._FilterDatabase" localSheetId="3" hidden="1">IC!$A$1:$C$213</definedName>
    <definedName name="_xlnm._FilterDatabase" localSheetId="2" hidden="1">Precios!$A$2:$C$385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93" l="1"/>
  <c r="F7" i="93"/>
  <c r="F8" i="93"/>
  <c r="F9" i="93"/>
  <c r="F10" i="93"/>
  <c r="F11" i="93"/>
  <c r="F12" i="93"/>
  <c r="F13" i="93"/>
  <c r="F59" i="98"/>
  <c r="F58" i="98"/>
  <c r="F57" i="98"/>
  <c r="F56" i="98"/>
  <c r="F55" i="98"/>
  <c r="F54" i="98"/>
  <c r="F53" i="98"/>
  <c r="F14" i="93"/>
  <c r="F52" i="98"/>
  <c r="F51" i="98"/>
  <c r="F50" i="98"/>
  <c r="F49" i="98"/>
  <c r="F48" i="98"/>
  <c r="F47" i="98"/>
  <c r="F45" i="98" l="1"/>
  <c r="E46" i="98"/>
  <c r="F46" i="98" s="1"/>
  <c r="E40" i="98" l="1"/>
  <c r="F40" i="98" s="1"/>
  <c r="E8" i="98"/>
  <c r="G14" i="93"/>
  <c r="F44" i="98"/>
  <c r="F43" i="98"/>
  <c r="F42" i="98"/>
  <c r="F41" i="98"/>
  <c r="G11" i="93"/>
  <c r="F39" i="98"/>
  <c r="F38" i="98"/>
  <c r="G12" i="93"/>
  <c r="F37" i="98"/>
  <c r="F36" i="98"/>
  <c r="F35" i="98"/>
  <c r="F34" i="98"/>
  <c r="F33" i="98"/>
  <c r="F32" i="98"/>
  <c r="F29" i="98"/>
  <c r="F30" i="98"/>
  <c r="F31" i="98"/>
  <c r="F28" i="98"/>
  <c r="F9" i="98"/>
  <c r="F5" i="93"/>
  <c r="G5" i="93" s="1"/>
  <c r="F8" i="98"/>
  <c r="F27" i="98"/>
  <c r="F25" i="98"/>
  <c r="F22" i="98"/>
  <c r="F23" i="98"/>
  <c r="F24" i="98"/>
  <c r="F21" i="98"/>
  <c r="F17" i="98"/>
  <c r="F18" i="98"/>
  <c r="F19" i="98"/>
  <c r="F20" i="98"/>
  <c r="F16" i="98"/>
  <c r="F15" i="98"/>
  <c r="F39" i="93"/>
  <c r="G39" i="93" s="1"/>
  <c r="F38" i="93"/>
  <c r="G38" i="93" s="1"/>
  <c r="F37" i="93"/>
  <c r="G37" i="93" s="1"/>
  <c r="F36" i="93"/>
  <c r="G36" i="93" s="1"/>
  <c r="F35" i="93"/>
  <c r="G35" i="93" s="1"/>
  <c r="F34" i="93"/>
  <c r="G34" i="93" s="1"/>
  <c r="F33" i="93"/>
  <c r="G33" i="93" s="1"/>
  <c r="F32" i="93"/>
  <c r="G32" i="93" s="1"/>
  <c r="F31" i="93"/>
  <c r="G31" i="93" s="1"/>
  <c r="F30" i="93"/>
  <c r="G30" i="93" s="1"/>
  <c r="F29" i="93"/>
  <c r="G29" i="93" s="1"/>
  <c r="F28" i="93"/>
  <c r="G28" i="93" s="1"/>
  <c r="F27" i="93"/>
  <c r="G27" i="93" s="1"/>
  <c r="F26" i="93"/>
  <c r="G26" i="93" s="1"/>
  <c r="F25" i="93"/>
  <c r="G25" i="93" s="1"/>
  <c r="F24" i="93"/>
  <c r="G24" i="93" s="1"/>
  <c r="F23" i="93"/>
  <c r="G23" i="93" s="1"/>
  <c r="F22" i="93"/>
  <c r="G22" i="93" s="1"/>
  <c r="F21" i="93"/>
  <c r="G21" i="93" s="1"/>
  <c r="F20" i="93"/>
  <c r="G20" i="93" s="1"/>
  <c r="F19" i="93"/>
  <c r="G19" i="93" s="1"/>
  <c r="F18" i="93"/>
  <c r="G18" i="93" s="1"/>
  <c r="F17" i="93"/>
  <c r="G17" i="93" s="1"/>
  <c r="F16" i="93"/>
  <c r="G16" i="93" s="1"/>
  <c r="F15" i="93"/>
  <c r="G15" i="93" s="1"/>
  <c r="G13" i="93"/>
  <c r="G10" i="93"/>
  <c r="C39" i="93"/>
  <c r="C38" i="93"/>
  <c r="C37" i="93"/>
  <c r="C36" i="93"/>
  <c r="C35" i="93"/>
  <c r="C34" i="93"/>
  <c r="C33" i="93"/>
  <c r="C32" i="93"/>
  <c r="C31" i="93"/>
  <c r="C30" i="93"/>
  <c r="C29" i="93"/>
  <c r="C28" i="93"/>
  <c r="C27" i="93"/>
  <c r="C26" i="93"/>
  <c r="C25" i="93"/>
  <c r="C24" i="93"/>
  <c r="C23" i="93"/>
  <c r="C22" i="93"/>
  <c r="C21" i="93"/>
  <c r="C20" i="93"/>
  <c r="C19" i="93"/>
  <c r="C18" i="93"/>
  <c r="C17" i="93"/>
  <c r="C16" i="93"/>
  <c r="C15" i="93"/>
  <c r="C14" i="93"/>
  <c r="C13" i="93"/>
  <c r="C12" i="93"/>
  <c r="C11" i="93"/>
  <c r="C10" i="93"/>
  <c r="C9" i="93"/>
  <c r="C8" i="93"/>
  <c r="C7" i="93"/>
  <c r="C6" i="93"/>
  <c r="C5" i="93"/>
  <c r="F14" i="98"/>
  <c r="F13" i="98"/>
  <c r="F12" i="98"/>
  <c r="F11" i="98"/>
  <c r="F7" i="98"/>
  <c r="F10" i="98"/>
  <c r="F6" i="98"/>
  <c r="F5" i="98"/>
  <c r="F3" i="98"/>
  <c r="F2" i="98"/>
  <c r="G6" i="93"/>
  <c r="G7" i="93"/>
  <c r="G8" i="93"/>
  <c r="G9" i="93"/>
  <c r="E57" i="93"/>
  <c r="H70" i="93"/>
  <c r="E55" i="93"/>
  <c r="E51" i="93"/>
  <c r="B3" i="93"/>
  <c r="E56" i="93"/>
  <c r="I60" i="93"/>
  <c r="B46" i="93"/>
  <c r="D46" i="93"/>
  <c r="E46" i="93"/>
  <c r="G46" i="93"/>
  <c r="H75" i="93"/>
  <c r="H74" i="93"/>
  <c r="H73" i="93"/>
  <c r="H72" i="93"/>
  <c r="H71" i="93"/>
  <c r="I63" i="93"/>
  <c r="I62" i="93"/>
  <c r="I61" i="93"/>
  <c r="I65" i="93" s="1"/>
  <c r="C108" i="56"/>
  <c r="C96" i="56"/>
  <c r="C85" i="56"/>
  <c r="C78" i="56"/>
  <c r="C89" i="56"/>
  <c r="F57" i="56"/>
  <c r="C39" i="56"/>
  <c r="C40" i="56"/>
  <c r="C38" i="56"/>
  <c r="C36" i="56"/>
  <c r="G11" i="56"/>
  <c r="C70" i="56"/>
  <c r="C104" i="56"/>
  <c r="C105" i="56"/>
  <c r="C106" i="56"/>
  <c r="G10" i="56"/>
  <c r="B49" i="93"/>
  <c r="D49" i="93"/>
  <c r="C8" i="56"/>
  <c r="C107" i="56"/>
  <c r="C47" i="56"/>
  <c r="C51" i="56"/>
  <c r="H76" i="93"/>
  <c r="C11" i="56"/>
  <c r="D45" i="93"/>
  <c r="B47" i="93"/>
  <c r="D47" i="93"/>
  <c r="C71" i="56"/>
  <c r="B43" i="93"/>
  <c r="G49" i="93"/>
  <c r="E49" i="93"/>
  <c r="B48" i="93"/>
  <c r="B50" i="93"/>
  <c r="E47" i="93"/>
  <c r="G47" i="93"/>
  <c r="G45" i="93"/>
  <c r="E45" i="93"/>
  <c r="C57" i="56"/>
  <c r="F14" i="56"/>
  <c r="G14" i="56"/>
  <c r="G15" i="56"/>
  <c r="I19" i="56"/>
  <c r="I21" i="56"/>
  <c r="C12" i="56"/>
  <c r="E50" i="93"/>
  <c r="D50" i="93"/>
  <c r="G50" i="93"/>
  <c r="D48" i="93"/>
  <c r="G48" i="93" s="1"/>
  <c r="E48" i="93"/>
  <c r="D44" i="93"/>
  <c r="G44" i="93"/>
  <c r="E44" i="93"/>
  <c r="C102" i="56"/>
  <c r="C63" i="56"/>
  <c r="C64" i="56"/>
  <c r="C76" i="56"/>
  <c r="F56" i="56"/>
  <c r="E58" i="56"/>
  <c r="C86" i="56"/>
  <c r="C88" i="56"/>
  <c r="D43" i="93"/>
  <c r="G43" i="93" s="1"/>
  <c r="E43" i="93"/>
  <c r="C21" i="56"/>
  <c r="C22" i="56"/>
  <c r="C13" i="56"/>
  <c r="C14" i="56"/>
  <c r="C24" i="56"/>
  <c r="C25" i="56"/>
  <c r="H64" i="93"/>
  <c r="I64" i="93"/>
  <c r="C103" i="56"/>
  <c r="C109" i="56"/>
  <c r="C111" i="56"/>
  <c r="C117" i="56"/>
  <c r="C118" i="56"/>
  <c r="C119" i="56"/>
  <c r="E89" i="98" l="1"/>
  <c r="G52" i="93"/>
  <c r="G40" i="93"/>
  <c r="H78" i="93" l="1"/>
  <c r="H80" i="93" s="1"/>
  <c r="H79" i="93" l="1"/>
  <c r="H81" i="93" s="1"/>
  <c r="H82" i="9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Personal</author>
    <author>WinuE</author>
    <author>pperez</author>
  </authors>
  <commentList>
    <comment ref="C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valor que oscila entre 1.3-2.5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1" shapeId="0" xr:uid="{00000000-0006-0000-0000-000002000000}">
      <text>
        <r>
          <rPr>
            <b/>
            <sz val="8"/>
            <color indexed="81"/>
            <rFont val="Tahoma"/>
            <family val="2"/>
          </rPr>
          <t>Valor que Oscila</t>
        </r>
        <r>
          <rPr>
            <sz val="8"/>
            <color indexed="81"/>
            <rFont val="Tahoma"/>
            <family val="2"/>
          </rPr>
          <t xml:space="preserve">
80-120 g/dia.hab</t>
        </r>
      </text>
    </comment>
    <comment ref="C10" authorId="1" shapeId="0" xr:uid="{00000000-0006-0000-0000-000003000000}">
      <text>
        <r>
          <rPr>
            <b/>
            <sz val="8"/>
            <color indexed="81"/>
            <rFont val="Tahoma"/>
            <family val="2"/>
          </rPr>
          <t>RAS 2000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2" authorId="1" shapeId="0" xr:uid="{00000000-0006-0000-0000-000004000000}">
      <text>
        <r>
          <rPr>
            <b/>
            <sz val="8"/>
            <color indexed="81"/>
            <rFont val="Tahoma"/>
            <family val="2"/>
          </rPr>
          <t>Solo se evalua para calcular la carga organica equivalente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0" authorId="1" shapeId="0" xr:uid="{00000000-0006-0000-0000-000005000000}">
      <text>
        <r>
          <rPr>
            <b/>
            <sz val="8"/>
            <color indexed="81"/>
            <rFont val="Tahoma"/>
            <family val="2"/>
          </rPr>
          <t>Oscila entre 90-150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3" authorId="2" shapeId="0" xr:uid="{00000000-0006-0000-0000-000006000000}">
      <text>
        <r>
          <rPr>
            <b/>
            <sz val="8"/>
            <color indexed="81"/>
            <rFont val="Tahoma"/>
            <family val="2"/>
          </rPr>
          <t>pperez:</t>
        </r>
        <r>
          <rPr>
            <sz val="8"/>
            <color indexed="81"/>
            <rFont val="Tahoma"/>
            <family val="2"/>
          </rPr>
          <t xml:space="preserve">
Oscila entre 10 - 18</t>
        </r>
      </text>
    </comment>
    <comment ref="C58" authorId="2" shapeId="0" xr:uid="{00000000-0006-0000-0000-000007000000}">
      <text>
        <r>
          <rPr>
            <b/>
            <sz val="8"/>
            <color indexed="81"/>
            <rFont val="Tahoma"/>
            <family val="2"/>
          </rPr>
          <t>pperez:</t>
        </r>
        <r>
          <rPr>
            <sz val="8"/>
            <color indexed="81"/>
            <rFont val="Tahoma"/>
            <family val="2"/>
          </rPr>
          <t xml:space="preserve">
base DBO oscila 0,4-0,8 base DBO y 0,25-0,4 Base DBO</t>
        </r>
      </text>
    </comment>
    <comment ref="E58" authorId="2" shapeId="0" xr:uid="{00000000-0006-0000-0000-000008000000}">
      <text>
        <r>
          <rPr>
            <b/>
            <sz val="8"/>
            <color indexed="81"/>
            <rFont val="Tahoma"/>
            <family val="2"/>
          </rPr>
          <t>pperez: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77" authorId="1" shapeId="0" xr:uid="{00000000-0006-0000-0000-000009000000}">
      <text>
        <r>
          <rPr>
            <b/>
            <sz val="8"/>
            <color indexed="81"/>
            <rFont val="Tahoma"/>
            <family val="2"/>
          </rPr>
          <t>Se plantean dos unidades que trabajaran en pralelo, pero tendran la opción de trabajar independientes en caso de mantenimiento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7" authorId="1" shapeId="0" xr:uid="{00000000-0006-0000-0000-00000A000000}">
      <text>
        <r>
          <rPr>
            <b/>
            <sz val="8"/>
            <color indexed="81"/>
            <rFont val="Tahoma"/>
            <family val="2"/>
          </rPr>
          <t>oscila entre 9000-1000 mg/l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MAIRA ALEJANDRA</author>
    <author>Maira Alejandra Zea</author>
  </authors>
  <commentList>
    <comment ref="A60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MAIRA ALEJANDRA:</t>
        </r>
        <r>
          <rPr>
            <sz val="9"/>
            <color indexed="81"/>
            <rFont val="Tahoma"/>
            <family val="2"/>
          </rPr>
          <t xml:space="preserve">
TRANSPORTE ENVIA + TRASNPORTE TERCEROS</t>
        </r>
      </text>
    </comment>
    <comment ref="A6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MAIRA ALEJANDRA:</t>
        </r>
        <r>
          <rPr>
            <sz val="9"/>
            <color indexed="81"/>
            <rFont val="Tahoma"/>
            <family val="2"/>
          </rPr>
          <t xml:space="preserve">
DESPLAZAMIENTOS TECNICOS</t>
        </r>
      </text>
    </comment>
    <comment ref="A75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Maira Alejandra Zea:</t>
        </r>
        <r>
          <rPr>
            <sz val="9"/>
            <color indexed="81"/>
            <rFont val="Tahoma"/>
            <family val="2"/>
          </rPr>
          <t xml:space="preserve">
COLOCARIA UN PORCENTAJE DEL COSTO DEL PROYECTO 5%</t>
        </r>
      </text>
    </comment>
  </commentList>
</comments>
</file>

<file path=xl/sharedStrings.xml><?xml version="1.0" encoding="utf-8"?>
<sst xmlns="http://schemas.openxmlformats.org/spreadsheetml/2006/main" count="1870" uniqueCount="1531">
  <si>
    <t>DESCRIPCION</t>
  </si>
  <si>
    <t>CANTIDAD</t>
  </si>
  <si>
    <t>V. UNITARIO</t>
  </si>
  <si>
    <t>VALOR</t>
  </si>
  <si>
    <t>EQUIPOS</t>
  </si>
  <si>
    <t>PÓLIZAS</t>
  </si>
  <si>
    <t>IMPREVISTOS</t>
  </si>
  <si>
    <t>NEGOCIACION</t>
  </si>
  <si>
    <t>TOTAL CON IVA</t>
  </si>
  <si>
    <t>UN</t>
  </si>
  <si>
    <t>DISEÑO</t>
  </si>
  <si>
    <t>Parametros Fase 1</t>
  </si>
  <si>
    <t>Parametro</t>
  </si>
  <si>
    <t xml:space="preserve">Valor </t>
  </si>
  <si>
    <t>Unidades</t>
  </si>
  <si>
    <t>Caudal (l/s)</t>
  </si>
  <si>
    <t>Factor para asumir Picos de Caudal Maximo</t>
  </si>
  <si>
    <t>CAUDAL</t>
  </si>
  <si>
    <t>Q Diseño</t>
  </si>
  <si>
    <t>l/s</t>
  </si>
  <si>
    <t>Carga como DBO</t>
  </si>
  <si>
    <t>g/hab.d</t>
  </si>
  <si>
    <t>Dotación Representativa</t>
  </si>
  <si>
    <t>l/hab.día</t>
  </si>
  <si>
    <t>Q (l/s) unidades primarias</t>
  </si>
  <si>
    <t xml:space="preserve">Producción AR </t>
  </si>
  <si>
    <t>l/día</t>
  </si>
  <si>
    <t>Q etapa 1</t>
  </si>
  <si>
    <t>Población representativa</t>
  </si>
  <si>
    <t>hab</t>
  </si>
  <si>
    <t>DBO max</t>
  </si>
  <si>
    <t>g/d</t>
  </si>
  <si>
    <t>DBO prom</t>
  </si>
  <si>
    <t>m3/s</t>
  </si>
  <si>
    <t>m3/dia</t>
  </si>
  <si>
    <t>CARGA DE SST</t>
  </si>
  <si>
    <t>CLARIFICADOR</t>
  </si>
  <si>
    <t>Producción percapita de Solidos</t>
  </si>
  <si>
    <t>TASA DE CLARIFICACIÓN(20-30)</t>
  </si>
  <si>
    <t>SST  max(g/l)</t>
  </si>
  <si>
    <t>AREA DE CLARIFICACIÓN</t>
  </si>
  <si>
    <t>SST prom (g/l)</t>
  </si>
  <si>
    <t xml:space="preserve">Carga de Nitrogeno </t>
  </si>
  <si>
    <t xml:space="preserve">N max </t>
  </si>
  <si>
    <t>N prom (g/d)</t>
  </si>
  <si>
    <t>DIMENSIONAMIENTO</t>
  </si>
  <si>
    <t xml:space="preserve">Supuestos: </t>
  </si>
  <si>
    <t xml:space="preserve">DBOL sólidos = 1.42 mg/l teoríco Metcalf </t>
  </si>
  <si>
    <t xml:space="preserve">DBO inicial asumida </t>
  </si>
  <si>
    <t>mg/l</t>
  </si>
  <si>
    <t>Sólidos Efluente asumido</t>
  </si>
  <si>
    <t xml:space="preserve">Eficiencia </t>
  </si>
  <si>
    <t>DBO final ≤</t>
  </si>
  <si>
    <t>% Fracción DBO biodegradable (asumida)</t>
  </si>
  <si>
    <t>Fracción DBO Biodegradable</t>
  </si>
  <si>
    <t>DBO L</t>
  </si>
  <si>
    <t>DBO 5 de SS del efluente</t>
  </si>
  <si>
    <t>DBO Soluble que escapa al tratamiento (S)</t>
  </si>
  <si>
    <t>S= DBO5eflu-DBO5 ss</t>
  </si>
  <si>
    <t xml:space="preserve">S </t>
  </si>
  <si>
    <t>RECALCULO DE LA EFICIENCIA</t>
  </si>
  <si>
    <t>E</t>
  </si>
  <si>
    <t>Basados en DBO soluble</t>
  </si>
  <si>
    <t>Metodo Mercalf</t>
  </si>
  <si>
    <r>
      <t>Ө</t>
    </r>
    <r>
      <rPr>
        <sz val="10"/>
        <rFont val="Arial"/>
        <family val="2"/>
      </rPr>
      <t>cd</t>
    </r>
  </si>
  <si>
    <t>d</t>
  </si>
  <si>
    <t>Q (m3/día)</t>
  </si>
  <si>
    <t>m3/d</t>
  </si>
  <si>
    <t>Y</t>
  </si>
  <si>
    <t>So</t>
  </si>
  <si>
    <t>X</t>
  </si>
  <si>
    <t>[] SS en tanque de aireación (oscila entre 3000-3500)</t>
  </si>
  <si>
    <t>Kd</t>
  </si>
  <si>
    <t>d-1</t>
  </si>
  <si>
    <t>(Oscila 0.04 - 0.075)</t>
  </si>
  <si>
    <t>"</t>
  </si>
  <si>
    <t xml:space="preserve">m3 </t>
  </si>
  <si>
    <t>l</t>
  </si>
  <si>
    <t>Metodo simplificado para calcular volumen</t>
  </si>
  <si>
    <t>TDH</t>
  </si>
  <si>
    <t>h</t>
  </si>
  <si>
    <t>Asumido</t>
  </si>
  <si>
    <t>Q prom</t>
  </si>
  <si>
    <t xml:space="preserve">VOL </t>
  </si>
  <si>
    <t xml:space="preserve">l  </t>
  </si>
  <si>
    <t xml:space="preserve">Asuma un valor cercano al promedio </t>
  </si>
  <si>
    <t>Volumen</t>
  </si>
  <si>
    <t>Volumen asumido</t>
  </si>
  <si>
    <t>m3</t>
  </si>
  <si>
    <t>Calculo de cantidad de fango a purgar diario</t>
  </si>
  <si>
    <t>Y Observada</t>
  </si>
  <si>
    <t>Px (producción de Lodos)</t>
  </si>
  <si>
    <t>kg/d</t>
  </si>
  <si>
    <t>Concentración de Lodos en la tolva espesadora SSV</t>
  </si>
  <si>
    <t>Px (con base en SS)</t>
  </si>
  <si>
    <t>Qw  (cantidad de lodos a purgar)</t>
  </si>
  <si>
    <t xml:space="preserve">Calcular la relación de circulación </t>
  </si>
  <si>
    <t xml:space="preserve">[] SSV en camara aireada </t>
  </si>
  <si>
    <t>[] SSV en retorno</t>
  </si>
  <si>
    <t>Qr/Q</t>
  </si>
  <si>
    <t>Calculo de oxigeno</t>
  </si>
  <si>
    <t>asumiendo DBO L que entra</t>
  </si>
  <si>
    <t>Masa de DBO utilizada</t>
  </si>
  <si>
    <t>Kg O2/d</t>
  </si>
  <si>
    <t>kgO2/d</t>
  </si>
  <si>
    <t>Ө</t>
  </si>
  <si>
    <r>
      <t>F/M = So/</t>
    </r>
    <r>
      <rPr>
        <sz val="10"/>
        <rFont val="Arial"/>
        <family val="2"/>
      </rPr>
      <t>Ө</t>
    </r>
    <r>
      <rPr>
        <sz val="10"/>
        <rFont val="Arial"/>
        <family val="2"/>
      </rPr>
      <t>X</t>
    </r>
  </si>
  <si>
    <t xml:space="preserve">Carga Volumetrica  </t>
  </si>
  <si>
    <t>Kg DBO/m3</t>
  </si>
  <si>
    <t>concentración de oxigeno en peso</t>
  </si>
  <si>
    <t>O2 (m3/d)</t>
  </si>
  <si>
    <t>factor de transferencia</t>
  </si>
  <si>
    <t>O2 necesario</t>
  </si>
  <si>
    <t>Para efectos de proyecto: Fs= 20% Seguridad</t>
  </si>
  <si>
    <t>Fs</t>
  </si>
  <si>
    <t>O2</t>
  </si>
  <si>
    <t>m3/h</t>
  </si>
  <si>
    <t>SCFM</t>
  </si>
  <si>
    <t>DIAMETRO</t>
  </si>
  <si>
    <t>COMISION A TERCEROS</t>
  </si>
  <si>
    <t>TOTAL</t>
  </si>
  <si>
    <t>TOTAL OTROS COSTOS</t>
  </si>
  <si>
    <t>TRANSPORTE PROPIO</t>
  </si>
  <si>
    <t>UTILIDAD BRUTA ESTIMADA</t>
  </si>
  <si>
    <t>VR-HORA</t>
  </si>
  <si>
    <t>%-F.P.</t>
  </si>
  <si>
    <t>+ P.S.</t>
  </si>
  <si>
    <t>SALARIO</t>
  </si>
  <si>
    <t xml:space="preserve"> </t>
  </si>
  <si>
    <t>DETALLE DE M.O.D.</t>
  </si>
  <si>
    <t>HOR-EST</t>
  </si>
  <si>
    <t>BASICO HORA</t>
  </si>
  <si>
    <t>MANO OBRA DIRECTA</t>
  </si>
  <si>
    <t>TRANSPORTE DE EQUIPOS CONTRATADO</t>
  </si>
  <si>
    <t>DÍA</t>
  </si>
  <si>
    <t>IMPUESTOS Y OTROS GASTOS</t>
  </si>
  <si>
    <t>NOMBRE DEL EMPLEADO</t>
  </si>
  <si>
    <t>VR DIA</t>
  </si>
  <si>
    <t>TOTAL DIAS</t>
  </si>
  <si>
    <t xml:space="preserve">VR DIA </t>
  </si>
  <si>
    <t>DIA ESTIMADOS</t>
  </si>
  <si>
    <t>PERSONAL MONTAJE HIDRAÚLICO (ALIMENTACION, HOSPEDAJE, OTROS VARIOS)</t>
  </si>
  <si>
    <t>PERSONAL MONTAJE ELÉCTRICO (ALIMENTACION, HOSPEDAJE, OTROS VARIOS)</t>
  </si>
  <si>
    <t>INSTALACION</t>
  </si>
  <si>
    <t>TOTAL COSTOS</t>
  </si>
  <si>
    <t>TOTAL A COBRAR SIN IVA</t>
  </si>
  <si>
    <t>HORAS EXTRAS ESTIMADAS</t>
  </si>
  <si>
    <t>H</t>
  </si>
  <si>
    <t>COTIZACION SERVICIOS DYSAM SAS</t>
  </si>
  <si>
    <t>TOTAL TIEMPO/ HORAS</t>
  </si>
  <si>
    <t>GIOVANNI PABON</t>
  </si>
  <si>
    <t>Fecha</t>
  </si>
  <si>
    <t>Cliente</t>
  </si>
  <si>
    <t>COLEGIO COLOMBO BRITANICO</t>
  </si>
  <si>
    <t>HOTEL LINCOLN</t>
  </si>
  <si>
    <t>Descripcion</t>
  </si>
  <si>
    <t>Aprobado</t>
  </si>
  <si>
    <t>Descripción</t>
  </si>
  <si>
    <t>Vr. Sin Iva.</t>
  </si>
  <si>
    <t>CODO 1"</t>
  </si>
  <si>
    <t>CODO 2"</t>
  </si>
  <si>
    <t>CODO 3"</t>
  </si>
  <si>
    <t>CODO 4"</t>
  </si>
  <si>
    <t>CONTACTOR CHINT 18 AMP</t>
  </si>
  <si>
    <t>SEMICODO 1"</t>
  </si>
  <si>
    <t>SEMICODO 2"</t>
  </si>
  <si>
    <t>SEMICODO 3"</t>
  </si>
  <si>
    <t>SEMICODO 4"</t>
  </si>
  <si>
    <t>TAPÓN SOLDADO 1"</t>
  </si>
  <si>
    <t>TAPÓN SOLDADO 2"</t>
  </si>
  <si>
    <t>TAPÓN ROSCADO 2"</t>
  </si>
  <si>
    <t>TEE 1"</t>
  </si>
  <si>
    <t>TEE 2"</t>
  </si>
  <si>
    <t>TEE 3"</t>
  </si>
  <si>
    <t>UNIÓN 1"</t>
  </si>
  <si>
    <t>UNIÓN 2"</t>
  </si>
  <si>
    <t>UNIÓN 3"</t>
  </si>
  <si>
    <t>UNIÓN 4"</t>
  </si>
  <si>
    <t>UNIVERSAL PVC SOLDADA 1"</t>
  </si>
  <si>
    <t>UNIVERSAL PVC SOLDADA 2"</t>
  </si>
  <si>
    <t>UNIVERSAL PVC ROSCADA 2"</t>
  </si>
  <si>
    <t>UNIVERSAL ACERO CARBÓN 2"</t>
  </si>
  <si>
    <t xml:space="preserve">NIT </t>
  </si>
  <si>
    <t xml:space="preserve">CLIENTE </t>
  </si>
  <si>
    <t>CORREO DE FACT ELECTRONICA</t>
  </si>
  <si>
    <t>901147602-4</t>
  </si>
  <si>
    <t>800046300-5</t>
  </si>
  <si>
    <t>airesdevigiadelfuerte@gmail.com</t>
  </si>
  <si>
    <t>administracionph@areadiez.co</t>
  </si>
  <si>
    <t>890938799-1</t>
  </si>
  <si>
    <t>jorge.arango7@gmail.com</t>
  </si>
  <si>
    <t>tesoreria@admonyasesorias.com</t>
  </si>
  <si>
    <t>901358146-2</t>
  </si>
  <si>
    <t>cordobaarangoasistente@gmail.com</t>
  </si>
  <si>
    <t>901223457-8</t>
  </si>
  <si>
    <t>admon.amatista1@gmail.com</t>
  </si>
  <si>
    <t xml:space="preserve">901187614-3 </t>
  </si>
  <si>
    <t>900632286-6</t>
  </si>
  <si>
    <t>ANSIRED S.A.S</t>
  </si>
  <si>
    <t>contabilidad@ansired.com</t>
  </si>
  <si>
    <t>900302237-1</t>
  </si>
  <si>
    <t>AVELLANAS T10</t>
  </si>
  <si>
    <t>torre10avellanas@gmail.com</t>
  </si>
  <si>
    <t>901038356-1</t>
  </si>
  <si>
    <t>BALSO RESERVADO</t>
  </si>
  <si>
    <t>900822639-8</t>
  </si>
  <si>
    <t>900010822-5</t>
  </si>
  <si>
    <t>aguilarantonio248@gmail.com</t>
  </si>
  <si>
    <t>900493077-6</t>
  </si>
  <si>
    <t>proveedoresciudadela@gmail.com</t>
  </si>
  <si>
    <t>890900938-4</t>
  </si>
  <si>
    <t>recepcion@ccbenv.edu.co</t>
  </si>
  <si>
    <t>900480181-8</t>
  </si>
  <si>
    <t>901166042-0</t>
  </si>
  <si>
    <t>901187625-4</t>
  </si>
  <si>
    <t>fidelenapark@gmail.com</t>
  </si>
  <si>
    <t>900792136-5</t>
  </si>
  <si>
    <t>811026034-5</t>
  </si>
  <si>
    <t>gerencia.hcl@solarhoteles.com</t>
  </si>
  <si>
    <t>ayuda@dixhotel.co</t>
  </si>
  <si>
    <t>900111829-1</t>
  </si>
  <si>
    <t>reservas@hotellincoln.com.co</t>
  </si>
  <si>
    <t>811039929-8</t>
  </si>
  <si>
    <t>INDUSTRIAL SOLUTIONS COLOMBIA S.A.</t>
  </si>
  <si>
    <t>facturacion@isc.net.co</t>
  </si>
  <si>
    <t>811034918-4</t>
  </si>
  <si>
    <t>901092017-7</t>
  </si>
  <si>
    <t>901245692-7</t>
  </si>
  <si>
    <t>900576538-7</t>
  </si>
  <si>
    <t>crlaurelen@gmail.com</t>
  </si>
  <si>
    <t>901154354-1</t>
  </si>
  <si>
    <t>informacion@campestredrivein.com</t>
  </si>
  <si>
    <t>901089729-1</t>
  </si>
  <si>
    <t>admonmanzanaonce@gmail.com</t>
  </si>
  <si>
    <t>900430090-2</t>
  </si>
  <si>
    <t>900717982-0</t>
  </si>
  <si>
    <t>conjunto_residencial.mattiz@hotmail.com</t>
  </si>
  <si>
    <t>800043725-8</t>
  </si>
  <si>
    <t>urbmilan9@gmail.com</t>
  </si>
  <si>
    <t>901142267-7</t>
  </si>
  <si>
    <t>901022548-7</t>
  </si>
  <si>
    <t>admon@nativomadera.com</t>
  </si>
  <si>
    <t>900556626-1</t>
  </si>
  <si>
    <t xml:space="preserve">ONE PLAZA </t>
  </si>
  <si>
    <t>contabilidadoneplaza@mts.com.co</t>
  </si>
  <si>
    <t>811034872-4</t>
  </si>
  <si>
    <t>900780143-5</t>
  </si>
  <si>
    <t>900859669-9</t>
  </si>
  <si>
    <t>PROVINCIA DE TOSCANA</t>
  </si>
  <si>
    <t>provinciadetoscana@gmail.com</t>
  </si>
  <si>
    <t>900128089-0</t>
  </si>
  <si>
    <t>900166209-1</t>
  </si>
  <si>
    <t>unidadespuertomontt@gmail.com</t>
  </si>
  <si>
    <t>811033278-4</t>
  </si>
  <si>
    <t>900627371-4</t>
  </si>
  <si>
    <t>ROBLES DE LA CALERA</t>
  </si>
  <si>
    <t>900730967-3</t>
  </si>
  <si>
    <t>900730953-0</t>
  </si>
  <si>
    <t>900314606-6</t>
  </si>
  <si>
    <t xml:space="preserve">admin@conjuntosaltamonte.com </t>
  </si>
  <si>
    <t>901200501-5</t>
  </si>
  <si>
    <t>811016358-3</t>
  </si>
  <si>
    <t>901332535-1</t>
  </si>
  <si>
    <t>torrescagliaph@gmail.com</t>
  </si>
  <si>
    <t>900242043-1</t>
  </si>
  <si>
    <t>solarisapartamentosph@gmail.com</t>
  </si>
  <si>
    <t>901390799-6</t>
  </si>
  <si>
    <t>contabilidadsquare@mts.com.co</t>
  </si>
  <si>
    <t>900957214-1</t>
  </si>
  <si>
    <t>901003050-0</t>
  </si>
  <si>
    <t>tierragratadelesmeraldal@gmail.com</t>
  </si>
  <si>
    <t>811004177-5</t>
  </si>
  <si>
    <t>900719377-3</t>
  </si>
  <si>
    <t>901051864-3</t>
  </si>
  <si>
    <t>YEISON PUERTA</t>
  </si>
  <si>
    <t>Sabado Dia</t>
  </si>
  <si>
    <t>Valor</t>
  </si>
  <si>
    <t>Numero/horas</t>
  </si>
  <si>
    <t>Transporte</t>
  </si>
  <si>
    <t>Valor/pagar</t>
  </si>
  <si>
    <t>Dia Normal despues de 7:00 pm</t>
  </si>
  <si>
    <t>Sabado (6:00 pm)-Domingo-Festivo</t>
  </si>
  <si>
    <t>HOJAS DE SIERRA</t>
  </si>
  <si>
    <t>Nit</t>
  </si>
  <si>
    <t>800134211-5</t>
  </si>
  <si>
    <t>CENTRO COMERCIAL UNION PLAZA P.H.</t>
  </si>
  <si>
    <t>info@unionplaza.com.co</t>
  </si>
  <si>
    <t>URBANIZACION TORRES DE SANTA CECILIA PH</t>
  </si>
  <si>
    <t>EDIFICIO ALTOS DE SAN LUCAS P.H.</t>
  </si>
  <si>
    <t>CONJUNTO RESIDENCIAL ALTOS DE TORRE MOLINOS</t>
  </si>
  <si>
    <t>EDIFICIO ALTOS DE SAN MIGUEL PH</t>
  </si>
  <si>
    <t>LA ANDALUZA PARCELACION PH</t>
  </si>
  <si>
    <t>PASEO COMERCIAL AMSTERDAM PLAZA - PROPIEDAD HORIZONTAL</t>
  </si>
  <si>
    <t>URBANIZACION ARRAYANES DE LA CALERA PH</t>
  </si>
  <si>
    <t>EDIFICIO ATLANTIC</t>
  </si>
  <si>
    <t>UNIDAD RESIDENCIAL BALCON DE LA RAZA P.H.</t>
  </si>
  <si>
    <t>CONJUNTO RESIDENCIAL BALTICO P.H.</t>
  </si>
  <si>
    <t>EDIFICIO BELLAGIO</t>
  </si>
  <si>
    <t>EDIFICIO BLUX PH</t>
  </si>
  <si>
    <t>CONJUNTO RESIDENCIAL BOSQUES DE LA CASCADA PH</t>
  </si>
  <si>
    <t>EDIFICIO BOSQUES DE SANTIAGO PH</t>
  </si>
  <si>
    <t>PARCELACION BRACAMONTE P.H</t>
  </si>
  <si>
    <t>URBANIZACION CACTUS P.H</t>
  </si>
  <si>
    <t>CONJUNTO RESIDENCIAL CALIFORNIA P.H.</t>
  </si>
  <si>
    <t>901053024-2</t>
  </si>
  <si>
    <t>CONJUNTO RESIDENCIAL CAMINO DE LAS AGUAS P.H</t>
  </si>
  <si>
    <t>URBANIZACION CANTA PIEDRA P.H</t>
  </si>
  <si>
    <t>CONJUNTO RESIDENCIAL CIUDADELA REAL P.H.</t>
  </si>
  <si>
    <t>crciudadelareal@yahoo.es</t>
  </si>
  <si>
    <t>EDIFICIO CATAY 7 P.H</t>
  </si>
  <si>
    <t>CENTRO INDUSTRIAL PUERTA DEL SUR P.H.</t>
  </si>
  <si>
    <t>890940114-3</t>
  </si>
  <si>
    <t>901147823-5</t>
  </si>
  <si>
    <t>901469538-2</t>
  </si>
  <si>
    <t>900148385-1</t>
  </si>
  <si>
    <t>900037468-8</t>
  </si>
  <si>
    <t>900559296-8</t>
  </si>
  <si>
    <t>CONJUNTO RESIDENCIAL CIUDADELA DEL VALLE</t>
  </si>
  <si>
    <t>UNIDAD RESIDENCIAL CRISTALES DE ZUÑIGA P.H</t>
  </si>
  <si>
    <t>DISTRISOLUCIONES MC SAS</t>
  </si>
  <si>
    <t>URBANIZACIÓN DUVILLE APARTAMENTOS PH</t>
  </si>
  <si>
    <t>900794951-0</t>
  </si>
  <si>
    <t>900291903-8</t>
  </si>
  <si>
    <t>FALCONTROL SAS</t>
  </si>
  <si>
    <t>901464101-5</t>
  </si>
  <si>
    <t>CLUB RESIDENCIAL FIDELENA PARK P.H</t>
  </si>
  <si>
    <t>EDIFICIO FIJI PH</t>
  </si>
  <si>
    <t>CONJUNTO RESIDENCIAL FONT ETAPA 1</t>
  </si>
  <si>
    <t>900980179-8</t>
  </si>
  <si>
    <t>URBANIZACION GREEN ECOLIVING</t>
  </si>
  <si>
    <t>EDIFICIO GUADALUPE</t>
  </si>
  <si>
    <t>EMPRESA SOCIAL DEL ESTADO HOSPITAL LA ESTRELLA</t>
  </si>
  <si>
    <t>800138968-1</t>
  </si>
  <si>
    <t>UNIDAD RESIDENCIAL LAS BRUJAS P.H</t>
  </si>
  <si>
    <t>890940079-3</t>
  </si>
  <si>
    <t>CONJUNTO RESIDENCIAL LA CONCHA ETAPA 2</t>
  </si>
  <si>
    <t>890934478-4</t>
  </si>
  <si>
    <t>URBANIZACION LA FORET</t>
  </si>
  <si>
    <t>URBANIZACION LA ESTANCIA PH</t>
  </si>
  <si>
    <t>EDIFICIO HABANA P.H.</t>
  </si>
  <si>
    <t>811015607-8</t>
  </si>
  <si>
    <t>EDIFICIO RESIDENCIAL LALIK - PROPIEDAD HORIZONTAL</t>
  </si>
  <si>
    <t>901109479-2</t>
  </si>
  <si>
    <t>URBANIZACION LAUREL PH</t>
  </si>
  <si>
    <t>901399851-2</t>
  </si>
  <si>
    <t>CONJUNTO RESIDENCIAL LAURELEN - PROPIEDAD HORIZONTAL</t>
  </si>
  <si>
    <t>CONJUNTO RESIDENCIAL LEMONT II PH</t>
  </si>
  <si>
    <t>CENTRO COMERCIAL CAMPESTRE DRIVE IN</t>
  </si>
  <si>
    <t>811006259-1</t>
  </si>
  <si>
    <t>CONJUNTO RESIDENCIAL MANZANA ONCE PH</t>
  </si>
  <si>
    <t>EDIFICIO MARAT</t>
  </si>
  <si>
    <t>CONJUNTO RESIDENCIAL MATTIZ P.H</t>
  </si>
  <si>
    <t>MEGAMUNDO S.A.</t>
  </si>
  <si>
    <t>811030850-4</t>
  </si>
  <si>
    <t>URBANIZACION MILAN CONDOMINIO No. 9 PH</t>
  </si>
  <si>
    <t>CONJUNTO RESIDENCIAL MIRADOR DE SAN ANGEL P.H</t>
  </si>
  <si>
    <t>EDIFICIO MIRADOR VERDE PH</t>
  </si>
  <si>
    <t>CONJUNTO RESIDENCIAL URBANIZACION MONT CLAIRE PH</t>
  </si>
  <si>
    <t>CONJUNTO RESIDENCIAL NATIVO MADERA P.H.</t>
  </si>
  <si>
    <t>EDIFICIO NATUZZI LIVING PH</t>
  </si>
  <si>
    <t>URBANIZACION PARQUES DE SANTA CATALINA P.H.</t>
  </si>
  <si>
    <t>811005504-5</t>
  </si>
  <si>
    <t>sancatalina@hotmail.es</t>
  </si>
  <si>
    <t>EDIFICIO PIEDRA AZUL</t>
  </si>
  <si>
    <t>EDIFICIO POSITANO</t>
  </si>
  <si>
    <t>URBANIZACION PUENTE MADERO</t>
  </si>
  <si>
    <t>CONJUNTO RESIDENCIAL PUERTO MONTT PROPIEDAD HORIZONTAL</t>
  </si>
  <si>
    <t>URBANIZACION REFUGIO DE VILLA VERDE</t>
  </si>
  <si>
    <t>901248938-7</t>
  </si>
  <si>
    <t>EDIFICIO SAIGAMA PH</t>
  </si>
  <si>
    <t>800078783-6</t>
  </si>
  <si>
    <t>URBANIZACION SAINT MARTEEN PH</t>
  </si>
  <si>
    <t>URBANIZACION SAINT PIERRE PH</t>
  </si>
  <si>
    <t>SALAMANCA APARTAMENTOS- PROPIEDAD HORIZONTAL</t>
  </si>
  <si>
    <t>CONJUNTO RESIDENCIAL SALTAMONTE P.H</t>
  </si>
  <si>
    <t>SAN FRANCISCO CENTRO EMPRESARIAL - PROPIEDAD HORIZONTAL</t>
  </si>
  <si>
    <t>EDIFICIO SAN SEBASTIAN DE LA FRONTERA P.H.</t>
  </si>
  <si>
    <t>CONJUNTO RESIDENCIAL CONDOMINIO SANTA CLARA P.H.</t>
  </si>
  <si>
    <t>811031035-2</t>
  </si>
  <si>
    <t>900078511-2</t>
  </si>
  <si>
    <t>EDIFICIO SANTA COLOMA P.H.</t>
  </si>
  <si>
    <t>800182713-5</t>
  </si>
  <si>
    <t>EDIFICIO TORRE SCAGLIA - PROPIEDAD HORIZONTAL</t>
  </si>
  <si>
    <t>SOLARIS APARTAMENTOS PH</t>
  </si>
  <si>
    <t>SQUARE TRADE AND HOME - PROPIEDAD HORIZONTAL</t>
  </si>
  <si>
    <t>URBANIZACIÓN STANZA - PROPIEDAD HORIZONTAL</t>
  </si>
  <si>
    <t>EDIFICIO TIERRA DULCE</t>
  </si>
  <si>
    <t>CONJUNTO RESIDENCIAL TIERRA GRATA DEL ESMERALDAL</t>
  </si>
  <si>
    <t>811009827-7</t>
  </si>
  <si>
    <t>EDIFICIO TIERRALTA P.H.</t>
  </si>
  <si>
    <t>UNIDAD RESIDENCIAL TOULOUSE - PROPIEDAD HORIZONTAL</t>
  </si>
  <si>
    <t>EDIFICIO WHITE PROPIEDAD HORIZONTAL</t>
  </si>
  <si>
    <t>URBANIZACION ZARZAMORA P.H</t>
  </si>
  <si>
    <t>900967143-1</t>
  </si>
  <si>
    <t>900642312-2</t>
  </si>
  <si>
    <t>811001813-8</t>
  </si>
  <si>
    <t>900609584-1</t>
  </si>
  <si>
    <t>900480554-1</t>
  </si>
  <si>
    <t>901134610-7</t>
  </si>
  <si>
    <t>901183328-3</t>
  </si>
  <si>
    <t>900169032-7</t>
  </si>
  <si>
    <t>900777063-3</t>
  </si>
  <si>
    <t>890938789-8</t>
  </si>
  <si>
    <t>CONJUNTO RESIDENCIAL ALTOS DE LOS ALMENDROS P.H.</t>
  </si>
  <si>
    <t>900733467-6</t>
  </si>
  <si>
    <t>UNIDAD RESIDENCIAL EL CARMELO PROPIEDAD HORIZONTAL</t>
  </si>
  <si>
    <t>900815105-8</t>
  </si>
  <si>
    <t>CONDOMINIO CAMPESTRE SOTO DEL ESTE P.H.</t>
  </si>
  <si>
    <t>900861039-5</t>
  </si>
  <si>
    <t>parcelacionsotodeleste@gmail.com</t>
  </si>
  <si>
    <t>EDIFICIO PALMAR DEL VALLE P-H</t>
  </si>
  <si>
    <t>900115975-5</t>
  </si>
  <si>
    <t>CONJUNTO RESIDENCIAL KANDALA P.H.</t>
  </si>
  <si>
    <t>900272993-1</t>
  </si>
  <si>
    <t>kandalaph@hotmail.com</t>
  </si>
  <si>
    <t>EDIFICIO TORRES DE HUNGRIA P.H</t>
  </si>
  <si>
    <t>811002999-3</t>
  </si>
  <si>
    <t>800058986-9</t>
  </si>
  <si>
    <t>CONJUNTO RESIDENCIAL PRADOS DEL TESORO PH</t>
  </si>
  <si>
    <t>901016336-8</t>
  </si>
  <si>
    <t>INVERSIONES DE LA FUENTE S.A.S. (EDIFICIO VILANOA)</t>
  </si>
  <si>
    <t>900321354-4</t>
  </si>
  <si>
    <t>900869979-1</t>
  </si>
  <si>
    <t>EDIFICIO OPERA P.H.</t>
  </si>
  <si>
    <t>EDIFICIO ALUNA PH</t>
  </si>
  <si>
    <t>ANDY MERCDO</t>
  </si>
  <si>
    <t>800132447-7</t>
  </si>
  <si>
    <t>mompoxph@gmail.com</t>
  </si>
  <si>
    <t>CONJUNTO RESIDENCIAL MOMPOX PH</t>
  </si>
  <si>
    <t>URBANIZACION PIE DEL BOSQUE P.H.</t>
  </si>
  <si>
    <t>811046096-7</t>
  </si>
  <si>
    <t>admonpiedelbosque@gmail.com</t>
  </si>
  <si>
    <t>900428139-8</t>
  </si>
  <si>
    <t>CONJUNTO RESIDENCIA PALMAS DE SAN PABLO PH</t>
  </si>
  <si>
    <t>EDIFICIO SAN GIORGIO 2 P.H.</t>
  </si>
  <si>
    <t>811019381-7</t>
  </si>
  <si>
    <t>edificiosangiorgio2@hotmail.com</t>
  </si>
  <si>
    <t>SPORTY CITY SAS (SMARFIT)</t>
  </si>
  <si>
    <t>900792093-7</t>
  </si>
  <si>
    <t>CONJUNTO RESIDENCIAL NATIVO FLORA P.H.</t>
  </si>
  <si>
    <t>901537569-2</t>
  </si>
  <si>
    <t>CONJUNTO RESIDENCIAL TIERRA GRATA BOSQUE SANTO PH</t>
  </si>
  <si>
    <t>811002696-7</t>
  </si>
  <si>
    <t>CONJUNTO RESIDENCIAL VILANOVA P.H.</t>
  </si>
  <si>
    <t>vilanova2849@gmail.com</t>
  </si>
  <si>
    <t xml:space="preserve">EDIFICIO LAS VEGAS P.H. </t>
  </si>
  <si>
    <t>edificiolasvegasph05@gmail.com</t>
  </si>
  <si>
    <t>TERRANUM DESARROLLO S.A.S. (CORTEZZA)</t>
  </si>
  <si>
    <t>901117665-1</t>
  </si>
  <si>
    <t>EDIFICIO TERRANOVA P.H.</t>
  </si>
  <si>
    <t>901020155-7</t>
  </si>
  <si>
    <t>900225887-7</t>
  </si>
  <si>
    <t>EDIFICIO ARROYO DE LA HONDA P.H.</t>
  </si>
  <si>
    <t>811020804-2</t>
  </si>
  <si>
    <t>CONALTURA CONSTRUCCION Y VIVIENDA S.A. (URBANIZACION FORESTA P.H.)</t>
  </si>
  <si>
    <t>cconaltura@une.net.co</t>
  </si>
  <si>
    <t>UNIDAD RESIDENCIAL EDIFICIO BOTSUANA PH</t>
  </si>
  <si>
    <t>edificiobotsuana@gmail.com</t>
  </si>
  <si>
    <t>EDIFICIO AMATISTA LIFE STYLE</t>
  </si>
  <si>
    <t>Hora Auxilio</t>
  </si>
  <si>
    <t>901462757-7</t>
  </si>
  <si>
    <t>CONJUNTO RESIDENCIAL ANTARES ETAPA 6 TORRE 6 - P H</t>
  </si>
  <si>
    <t xml:space="preserve">CONJUNTO RESIDENCIAL MAZZARO ETAPA 1 P. H. </t>
  </si>
  <si>
    <t>901418955-2</t>
  </si>
  <si>
    <t>LUZ MARIA LOPERA (EDIFI MARFIL PH)</t>
  </si>
  <si>
    <t>EDIFICIO SANTO TOMAS PH</t>
  </si>
  <si>
    <t>811027400-2</t>
  </si>
  <si>
    <t>SERVICIOS CIVILES INTEGRALES SAS (PAPA JOHN'S -EL CORRAL - LEÑOS Y CARBÓN)</t>
  </si>
  <si>
    <t>CONJUNTO RESIDENCIAL PONTEVEDRA ETAPA 1 P.H.</t>
  </si>
  <si>
    <t>900010147-1</t>
  </si>
  <si>
    <t>pontevedraph@hotmail.com</t>
  </si>
  <si>
    <t>800053714-1</t>
  </si>
  <si>
    <t>900628755-3</t>
  </si>
  <si>
    <t>811033475-9</t>
  </si>
  <si>
    <t>900879901-2</t>
  </si>
  <si>
    <t>901255551-1</t>
  </si>
  <si>
    <t>800156664-2</t>
  </si>
  <si>
    <t>MAXORATA SAS (HOTEL FLORIDA IN)</t>
  </si>
  <si>
    <t>900999181-7</t>
  </si>
  <si>
    <t xml:space="preserve">901428858-9 </t>
  </si>
  <si>
    <t>901122122-2</t>
  </si>
  <si>
    <t xml:space="preserve">811030881-2  </t>
  </si>
  <si>
    <t>MILLA SIETE SAS</t>
  </si>
  <si>
    <t>901121286-7</t>
  </si>
  <si>
    <t>ALBERT EDINSON LÓPEZ GALLEGO (SIERRA CAMPESTRE)</t>
  </si>
  <si>
    <t>900238491-0</t>
  </si>
  <si>
    <t>900778057-3</t>
  </si>
  <si>
    <t>800215943-6</t>
  </si>
  <si>
    <t>EDIFICIO MADRIGAL PH</t>
  </si>
  <si>
    <t>UNIDAD RESIDENCIAL EDIFICIO ACQUAVELLA PH</t>
  </si>
  <si>
    <t>CONSTRUCTORA SURAMERICA SAS</t>
  </si>
  <si>
    <t>900398709-6</t>
  </si>
  <si>
    <t>CONJUNTO RESIDENCIAL CRUCERO DEL SUR - P.H.-</t>
  </si>
  <si>
    <t>RODRIGO SALDARRIAGA PARRA (EDIFICIO OCARINAS)</t>
  </si>
  <si>
    <t>71622871-6</t>
  </si>
  <si>
    <t>Admon.edificiocarinas@gmail.com</t>
  </si>
  <si>
    <t>CONJUNTO INMOBILIARIO PARMA -PROPIEDAD HORIZONTAL</t>
  </si>
  <si>
    <t>901384899-1</t>
  </si>
  <si>
    <t>mariaisabelcadavids@gmail.com</t>
  </si>
  <si>
    <t>901539316-5</t>
  </si>
  <si>
    <t>CONJUNTO RESIDENCIAL AIRES DE VIGIA DEL FUERTE P. H.</t>
  </si>
  <si>
    <t>EDIFICIO EL GALEON P.H.</t>
  </si>
  <si>
    <t>800059113-0</t>
  </si>
  <si>
    <t>811007098-5</t>
  </si>
  <si>
    <t>URBANIZACION PARQUE LORENA P.H</t>
  </si>
  <si>
    <t>800102496-1</t>
  </si>
  <si>
    <t>CONJUNTO RESIDENCIAL VISTA APARTAMIRADOR P.H. ETAPA 1 - TORRE 1</t>
  </si>
  <si>
    <t>901242203-5</t>
  </si>
  <si>
    <t>CONJUNTO RESIDENCIAL URBANIZACION ROSSET</t>
  </si>
  <si>
    <t>EDIFICIO GO LIVING &amp; SUITES-PROPIEDAD HORIZONTAL</t>
  </si>
  <si>
    <t>901539578-8</t>
  </si>
  <si>
    <t>811045854-9</t>
  </si>
  <si>
    <t>URBANIZACION RESERVA DE LA MARIA 1- ETAPA 1 P.H</t>
  </si>
  <si>
    <t>900201480-1</t>
  </si>
  <si>
    <t>CONJUNTO RESIDENCIAL SANTOS P.H.</t>
  </si>
  <si>
    <t>900065317-3</t>
  </si>
  <si>
    <t>REPARACION BOMBA</t>
  </si>
  <si>
    <t>URBANIZACION TORRES DEL CAMPO PROPIEDAD HORIZONTAL</t>
  </si>
  <si>
    <t>900503347-4</t>
  </si>
  <si>
    <t>torresdelcampoph@gmail.com</t>
  </si>
  <si>
    <t>CONJUNTO RESIDENCIAL AMSTERDAM APARTAMENTOS PH</t>
  </si>
  <si>
    <t>URBANIZACION Q  PROPIEDAD HORIZONTAL</t>
  </si>
  <si>
    <t>urbanizacionqtower@gmail.com</t>
  </si>
  <si>
    <t>EDIFICIO CENTRO SANTILLANA P.H.</t>
  </si>
  <si>
    <t>890938413-4</t>
  </si>
  <si>
    <t>asistentesantillana@mts.com.co</t>
  </si>
  <si>
    <t>tesoreria@caaph.co</t>
  </si>
  <si>
    <t>901548331-4</t>
  </si>
  <si>
    <t>EDIFICIO ALMONTE P.H.</t>
  </si>
  <si>
    <t>800061826-1</t>
  </si>
  <si>
    <t>EDIFICIO NATURAL P.H.</t>
  </si>
  <si>
    <t>901359102-3</t>
  </si>
  <si>
    <t>EDIFICIO PUNTO CONQUISTADOR P.H.</t>
  </si>
  <si>
    <t>811017695-5</t>
  </si>
  <si>
    <t>CONJUNTO RESIDENCIAL PALAMAS DE SAN PABLO P.H</t>
  </si>
  <si>
    <t xml:space="preserve">900428139-8 </t>
  </si>
  <si>
    <t>EDIFICIO SOTOVERDE P.H.</t>
  </si>
  <si>
    <t>800063302-1</t>
  </si>
  <si>
    <t xml:space="preserve">|  </t>
  </si>
  <si>
    <t>900347424-4</t>
  </si>
  <si>
    <t>comercial@valorizapropiedadraiz.com</t>
  </si>
  <si>
    <t>EDIFICIO VISTA DEL VALLE TORRE 1 ETAPA 1 P. H.</t>
  </si>
  <si>
    <t>9014 41644-3</t>
  </si>
  <si>
    <t>EDIFICIO BILBAO PH</t>
  </si>
  <si>
    <t>MASBIEN INMOBILIARIA S.A.S.  (EDIF. CIAO)</t>
  </si>
  <si>
    <t>EDIFICIO TORRE PRAVIA P.H.</t>
  </si>
  <si>
    <t xml:space="preserve">EDIFICIO CAYARU  </t>
  </si>
  <si>
    <t>EDIFICIO TORRE AVALONIA  PH</t>
  </si>
  <si>
    <t>EDIFICIO MONTREAL PH</t>
  </si>
  <si>
    <t>montrealph5@gmail,com</t>
  </si>
  <si>
    <t>cartera@docaph.com</t>
  </si>
  <si>
    <t>900396433-1</t>
  </si>
  <si>
    <t>EDIFICIO MOLIERE P.H.</t>
  </si>
  <si>
    <t>901114824-0</t>
  </si>
  <si>
    <t>CONJUNTO RESIDENCIAL OBRADIECINUEVE PH</t>
  </si>
  <si>
    <t>URBANIZACION MADEROS DEL RETIRO DE USO MIXTO</t>
  </si>
  <si>
    <t>901399867-1</t>
  </si>
  <si>
    <t>ALTOS DE MARIA AUXILIADORA PROYECTO VIS P.H</t>
  </si>
  <si>
    <t>901563326-1</t>
  </si>
  <si>
    <t>vilanovadireccion@gmail.com</t>
  </si>
  <si>
    <t>CONSTRCCIONES URBANAS SAS (OBRA VILANOVA SUR)</t>
  </si>
  <si>
    <t>800113986-4</t>
  </si>
  <si>
    <t>CONJUNTO FLORES DE LA COLINA TERCERA ETAPA P.H.</t>
  </si>
  <si>
    <t>811043645-7</t>
  </si>
  <si>
    <t>floresdelacolina3@gmail.com</t>
  </si>
  <si>
    <t>CONJUNTIO DE USO MIXTO OBRASQUINCE PH</t>
  </si>
  <si>
    <t>900968167-0</t>
  </si>
  <si>
    <t>Solicitudes@quantumadministraciones.com</t>
  </si>
  <si>
    <t>UNIDAD RESIDENCIAL CITTE - PROPIEDAD HORIZONTAL</t>
  </si>
  <si>
    <t>900975120-4</t>
  </si>
  <si>
    <t>citteph@gmail.com</t>
  </si>
  <si>
    <t>CONDOMINIO PRADOS DE ZUÑIGA  APARTAMENTOS ..</t>
  </si>
  <si>
    <t>900689335-4</t>
  </si>
  <si>
    <t>EDIFICIO BALCONES DE LA HOLANDA P. H</t>
  </si>
  <si>
    <t>900654889-1</t>
  </si>
  <si>
    <t>balconesdlaholanda@gmail.com</t>
  </si>
  <si>
    <t>900981887-9</t>
  </si>
  <si>
    <t>CONJUNTO RESIDENCIAL AMONTE PH</t>
  </si>
  <si>
    <t>CONJUNTO DE USO MIXTO EDIFICIO FORETTI P.H.</t>
  </si>
  <si>
    <t>901508042-1</t>
  </si>
  <si>
    <t>900664886-2</t>
  </si>
  <si>
    <t>CONJUNTO RESIDENCIAL TIERRA GRATA PALMAS PH</t>
  </si>
  <si>
    <t>JAVIER CABALLERO</t>
  </si>
  <si>
    <t>900120384-2</t>
  </si>
  <si>
    <t>edificiotorreondecastropol@gmail</t>
  </si>
  <si>
    <t>UNIDAD RESIDENCIAL TORREON DE CASTROPOL  PH</t>
  </si>
  <si>
    <t>urbanizacionlaquinta.ph@gmail.com</t>
  </si>
  <si>
    <t>URBANIZACIÓN LA QUINTA PROPIEDAD HORIZONTAL</t>
  </si>
  <si>
    <t>900686005-5</t>
  </si>
  <si>
    <t>CONJUNTO RESIDENCIAL DUBLIN P.H.</t>
  </si>
  <si>
    <t>901493310-1</t>
  </si>
  <si>
    <t>dublinpropiedadhorizontal@gmail.com</t>
  </si>
  <si>
    <t>CONDOMINIO ALCALÁ P.H.</t>
  </si>
  <si>
    <t>CONJUNTO RESIDENCIAL PLAZA SAN MARCOS PH</t>
  </si>
  <si>
    <t>800256125-3</t>
  </si>
  <si>
    <t>URBANIZACION ALDEA DEL SUR TORRE 1 P.H.</t>
  </si>
  <si>
    <t>901221013-2</t>
  </si>
  <si>
    <t>900267269-5</t>
  </si>
  <si>
    <t>EDIFICIO SALAMANCA PH</t>
  </si>
  <si>
    <t>900944872-1</t>
  </si>
  <si>
    <t>EDIFICIO ZAGUAN DE MANILA</t>
  </si>
  <si>
    <t>CONJUNTO RESIDENCIAL ATAVANZA ETAPAS I Y II - P.H.</t>
  </si>
  <si>
    <t>900248438-2</t>
  </si>
  <si>
    <t xml:space="preserve"> 900248438-2    </t>
  </si>
  <si>
    <t>conjunto.residencial.atavanza@gmail.com</t>
  </si>
  <si>
    <t xml:space="preserve"> pqrssalamanca@gmail.con</t>
  </si>
  <si>
    <t>EDIFICIO RIO VERDE - PROPIEDAD HORIZONTAL MIXTO</t>
  </si>
  <si>
    <t>901648372-5</t>
  </si>
  <si>
    <t>EDIFICIO CUMBRES DE MARIA P.H. PRIMERA ETAPA Y SEGUNDA ETAPA</t>
  </si>
  <si>
    <t xml:space="preserve">901184287-4   </t>
  </si>
  <si>
    <t>cumbresdemaria@hotmail.com</t>
  </si>
  <si>
    <t>901338956-6</t>
  </si>
  <si>
    <t>MB&amp;M MAQUINAS BOMBAS Y MANTENIMIENTO SAS</t>
  </si>
  <si>
    <t>facturacion.maquibombas@gmail.com</t>
  </si>
  <si>
    <t>auxiliar@conbienesurbanistica.com,</t>
  </si>
  <si>
    <t>CONJUNTO RESIDENCIAL QUINTAS DEL CEDRO P.H.</t>
  </si>
  <si>
    <t>811046965-2</t>
  </si>
  <si>
    <t>CENTRO EMPRESARIAL S-48 TOWERS</t>
  </si>
  <si>
    <t>901111326-0</t>
  </si>
  <si>
    <t xml:space="preserve">ADMINISTRACIÓN </t>
  </si>
  <si>
    <t>EDIFICIO BAHIA ETAPA B P.H</t>
  </si>
  <si>
    <t>890918210-0</t>
  </si>
  <si>
    <t>edificiobahia.ph@outlook.com</t>
  </si>
  <si>
    <t>CONJUNTO RESIDENCIAL CANTO APARTAMENTOS -PROPIEDAD HORIZONTAL</t>
  </si>
  <si>
    <t>901522487-1</t>
  </si>
  <si>
    <t>UNIDAD JARDINES P. H.</t>
  </si>
  <si>
    <t>900448282-9</t>
  </si>
  <si>
    <t>unidadjardines@gmail.com</t>
  </si>
  <si>
    <t>INVERSIONES FAJITEX SAS</t>
  </si>
  <si>
    <t>facturacion@grupoclever.co</t>
  </si>
  <si>
    <t>PARQUE LOGISTICO QUALITY CENTER</t>
  </si>
  <si>
    <t>901573607-7</t>
  </si>
  <si>
    <t>gerenciaquality@mts.com.co</t>
  </si>
  <si>
    <t>PARCELACION ENTREBOSQUES DE SAN SEBASTIAN PH</t>
  </si>
  <si>
    <t xml:space="preserve">auxiliar@conbienesurbanistico.com </t>
  </si>
  <si>
    <t>CONJUNTO RESIDENCIAL ATAVANZA ETAPAS I Y II - P.H</t>
  </si>
  <si>
    <t>VIAS Y EXPLANACIONES S.A</t>
  </si>
  <si>
    <t>900208503-2</t>
  </si>
  <si>
    <t>facturas@viasyexplanaciones.com.co</t>
  </si>
  <si>
    <t>facturacion@administraciónmg</t>
  </si>
  <si>
    <t>URBANIZACION MONTEPINAR P.H</t>
  </si>
  <si>
    <t>900163370-4</t>
  </si>
  <si>
    <t>facturacion@administracionmgm.com</t>
  </si>
  <si>
    <t>CONJUNTO DE USO MIXTO URBANIZACION JARDIN DE COLORES P.H.</t>
  </si>
  <si>
    <t>900349596-1</t>
  </si>
  <si>
    <t>coloresjardin629@gmail.com</t>
  </si>
  <si>
    <t>900582114-2</t>
  </si>
  <si>
    <t>EDIFICIO LOS PARRA PROPIEDAD HORIZONTAL</t>
  </si>
  <si>
    <t>CONJUNTO RESIDENCIAL ATALAYA DE SAN JORGE P.H</t>
  </si>
  <si>
    <t>900779033-1</t>
  </si>
  <si>
    <t>grupoochoproveedores@gmail.com; jorgeochoavelez@gmail.com</t>
  </si>
  <si>
    <t>901160334-9</t>
  </si>
  <si>
    <t xml:space="preserve">URBANIZACIÓN BOSQUES DE SAUCES PRIMERA ETAPAP.H </t>
  </si>
  <si>
    <t>admonbosquesdesauces@gmail.com</t>
  </si>
  <si>
    <t>901623740-4</t>
  </si>
  <si>
    <t>INVERASTORGA S.A.S (COWOR LATAM SEDE ASTORGA)</t>
  </si>
  <si>
    <t>torrelituaniaph@gmail.com</t>
  </si>
  <si>
    <t>UNIDAD AZALEA DEL PARQUE P.H.</t>
  </si>
  <si>
    <t>900055955-1</t>
  </si>
  <si>
    <t>azaleadelparque@hotmail.com</t>
  </si>
  <si>
    <t>UNIVERSAL PRESION ESTANDAR 3"</t>
  </si>
  <si>
    <t>EDIFICIO IBIZA LOFTS - PROPIEDAD HORIZONTAL</t>
  </si>
  <si>
    <t>ibizaloftph@gmail.com</t>
  </si>
  <si>
    <t>901263808-0</t>
  </si>
  <si>
    <t xml:space="preserve">                                                                 8,000 </t>
  </si>
  <si>
    <t xml:space="preserve">                                                              10,000 </t>
  </si>
  <si>
    <t xml:space="preserve">                                                              12,000 </t>
  </si>
  <si>
    <t>*Se deben cobrar siempre como minimo 2 horas, mas el auxilio de combustible por cada tecnico.</t>
  </si>
  <si>
    <t>HORA TECNICO</t>
  </si>
  <si>
    <t>HORA HED - 5:30 A 10 PM – SABADOS DIA</t>
  </si>
  <si>
    <t>VALOR COBRAR HORA</t>
  </si>
  <si>
    <t>HORA HEF - DOMINGOS Y FESTIVOS</t>
  </si>
  <si>
    <t>EDIFICIO MURANO PLAZA P.H.</t>
  </si>
  <si>
    <t>901392726-8</t>
  </si>
  <si>
    <t>muranoplazaph@gmail.com</t>
  </si>
  <si>
    <t>Vr. con Iva.</t>
  </si>
  <si>
    <t>900085852-8</t>
  </si>
  <si>
    <t>CONSTRUGEN S.A.S  (OBRA ONE LIVING)</t>
  </si>
  <si>
    <t>facturacion@construgen.com; juan.quintero@construgen.com</t>
  </si>
  <si>
    <t>CONJUNTO DE USO MIXTO JARDINES DEL SUR P.H</t>
  </si>
  <si>
    <t xml:space="preserve">901685297- 8 </t>
  </si>
  <si>
    <t>Admonjardinesdelsurph@gmail.com</t>
  </si>
  <si>
    <t>EDIFICIO EL AVILA P.H</t>
  </si>
  <si>
    <t>890937478-8</t>
  </si>
  <si>
    <t>comprascrismatt@gmail.com</t>
  </si>
  <si>
    <t>SOCIEDAD CIVIL EL NUEVO COLEGIO S.A. (THE NEW SCHOOL)</t>
  </si>
  <si>
    <t>800254204-8</t>
  </si>
  <si>
    <t>contabilidad@thenewschool.edu.co</t>
  </si>
  <si>
    <t>URBANIZACION FORESTA P.H.</t>
  </si>
  <si>
    <t>901540475-1</t>
  </si>
  <si>
    <t>urbanizacionforestaph@gmail.com</t>
  </si>
  <si>
    <t>CONJUNTO RESIDENCIAL PIETRASANTA PROPIEDAD HORIZONTAL</t>
  </si>
  <si>
    <t>900835916-1</t>
  </si>
  <si>
    <t>pietrasantaph41@gmail.com</t>
  </si>
  <si>
    <t>HORA HEN - 10:00 PM A 6:00 AM PM</t>
  </si>
  <si>
    <t>SANTIAGO DIAZ</t>
  </si>
  <si>
    <t>HORA HEN - 10:00 PM a 6:00 AM PM</t>
  </si>
  <si>
    <t>HORA HED  5:30 PM  a  10 PM – SABADOS DIA</t>
  </si>
  <si>
    <t>MTS CONSULTORÍA + GESTIÓN SAS</t>
  </si>
  <si>
    <t>830142201-4</t>
  </si>
  <si>
    <t>proveedores@mts.com.co</t>
  </si>
  <si>
    <t>890932232-0</t>
  </si>
  <si>
    <t>invelima@une.net.co</t>
  </si>
  <si>
    <t>INVERSIONES LINA MARIA S.A.S.  (TERRASOL)</t>
  </si>
  <si>
    <t>GASES INDUSTRIALES DE COLOMBIA S.A.</t>
  </si>
  <si>
    <t>860013704-3</t>
  </si>
  <si>
    <t>ESCOBAAM@airproducts.com;COFACT@airproducts.com</t>
  </si>
  <si>
    <t>EDIFICIO CAOBOS DE SOTOVERDE P.H.</t>
  </si>
  <si>
    <t>800240961-4</t>
  </si>
  <si>
    <t>caja@unidadesurbanas.com</t>
  </si>
  <si>
    <t>LEIDY JOHANA LOBO PIEDRAHITA</t>
  </si>
  <si>
    <t>1017125584</t>
  </si>
  <si>
    <t>IMPREVISTOS   EMERGENCIAS</t>
  </si>
  <si>
    <t>EDIFICIO CAMPOS DE AVIGNON P.H.</t>
  </si>
  <si>
    <t xml:space="preserve"> facturacionelectronica@habitathorizontal.com</t>
  </si>
  <si>
    <t>CONJUNTO RESIDENCIAL VIZCAYA REAL N.1 P.H.</t>
  </si>
  <si>
    <t>800033658-1</t>
  </si>
  <si>
    <t>comprascrismart@gmail.com</t>
  </si>
  <si>
    <t>EDIFICIO RESIDENCIAL ALCALA DE HENARES P.H.</t>
  </si>
  <si>
    <t>901327112-1</t>
  </si>
  <si>
    <t>ph.alcaladehenares@gmail.com</t>
  </si>
  <si>
    <t>LAVADO Y DESINFECCIÓN DE TANQUES DE AGUA POTABLE</t>
  </si>
  <si>
    <t>900220703-8</t>
  </si>
  <si>
    <t>HORA TÉCNICO</t>
  </si>
  <si>
    <t>HORA TABLERO</t>
  </si>
  <si>
    <t>CODIGO</t>
  </si>
  <si>
    <t>Descripción Ítem</t>
  </si>
  <si>
    <t>HEMBRA 1/2"</t>
  </si>
  <si>
    <t>HEMBRA 3/4"</t>
  </si>
  <si>
    <t>HEMBRA 1"</t>
  </si>
  <si>
    <t>HEMBRA 1 1/4"</t>
  </si>
  <si>
    <t>HEMBRA 1 1/2"</t>
  </si>
  <si>
    <t>HEMBRA 2"</t>
  </si>
  <si>
    <t>HEMBRA 2 1/2"</t>
  </si>
  <si>
    <t>HEMBRA 3"</t>
  </si>
  <si>
    <t>HEMBRA 4"</t>
  </si>
  <si>
    <t>MACHO 1/2"</t>
  </si>
  <si>
    <t>MACHO 3/4"</t>
  </si>
  <si>
    <t>MACHO 1"</t>
  </si>
  <si>
    <t>MACHO 1 1/4"</t>
  </si>
  <si>
    <t>MACHO 1 1/2"</t>
  </si>
  <si>
    <t>MACHO 2"</t>
  </si>
  <si>
    <t>MACHO 2 1/2"</t>
  </si>
  <si>
    <t>MACHO 3"</t>
  </si>
  <si>
    <t>MACHO 4"</t>
  </si>
  <si>
    <t>BUJE PVC ROSCADO  1/2" x 1/4"</t>
  </si>
  <si>
    <t>BUJE PVC ROSCADO 1" x 3/4"</t>
  </si>
  <si>
    <t>BUJE PVC ROSCADO 3/4" X 1/2"</t>
  </si>
  <si>
    <t>BUJE PVC SOLDADO 1" X 1/2"</t>
  </si>
  <si>
    <t>BUJE PVC SOLDADO 1" X 3/4"</t>
  </si>
  <si>
    <t>BUJE PVC SOLDADO 1 1/4" X 1/2"</t>
  </si>
  <si>
    <t>BUJE PVC SOLDADO 1 1/4" X 3/4"</t>
  </si>
  <si>
    <t>BUJE PVC SOLDADO 1 1/4" X 1"</t>
  </si>
  <si>
    <t>BUJE PVC SOLDADO 1 1/2" X 1/2"</t>
  </si>
  <si>
    <t>BUJE PVC SOLDADO 1 1/2" X 3/4"</t>
  </si>
  <si>
    <t>BUJE PVC SOLDADO 1 1/2" X 1"</t>
  </si>
  <si>
    <t>BUJE PVC SOLDADO 1 1/2" X 1 1/4"</t>
  </si>
  <si>
    <t>BUJE PVC SOLDADO 2" X 1/2"</t>
  </si>
  <si>
    <t>BUJE PVC SOLDADO 2" X 3/4"</t>
  </si>
  <si>
    <t>BUJE PVC SOLDADO 2" X 1"</t>
  </si>
  <si>
    <t>BUJE PVC SOLDADO 2" X 1 1/4"</t>
  </si>
  <si>
    <t>BUJE PVC SOLDADO 2" X 1 1/2"</t>
  </si>
  <si>
    <t>BUJE PVC SOLDADO 2 1/2" X 2"</t>
  </si>
  <si>
    <t>BUJE PVC SOLDADO 3" X 2"</t>
  </si>
  <si>
    <t>BUJE PVC SOLDADO 3" X 2 1/2"</t>
  </si>
  <si>
    <t>BUJE PVC SOLDADO 4" X 2"</t>
  </si>
  <si>
    <t>CODO 1/2"</t>
  </si>
  <si>
    <t>CODO 3/4"</t>
  </si>
  <si>
    <t>CODO 1 1/4"</t>
  </si>
  <si>
    <t>CODO 1 1/2"</t>
  </si>
  <si>
    <t>CODO 2 1/2"</t>
  </si>
  <si>
    <t>SEMICODO 1/2"</t>
  </si>
  <si>
    <t>SEMICODO 3/4"</t>
  </si>
  <si>
    <t>SEMICODO 1 1/4"</t>
  </si>
  <si>
    <t>SEMICODO 1 1/2"</t>
  </si>
  <si>
    <t>SEMICODO 2 1/2"</t>
  </si>
  <si>
    <t>TAPÓN ROSCADO 1/2"</t>
  </si>
  <si>
    <t>TAPÓN ROSCADO 1 1/4"</t>
  </si>
  <si>
    <t>TAPÓN ROSCADO 1 1/2"</t>
  </si>
  <si>
    <t>TEE 1/2"</t>
  </si>
  <si>
    <t>TEE 3/4"</t>
  </si>
  <si>
    <t>TEE 1 1/4"</t>
  </si>
  <si>
    <t>TEE 1 1/2"</t>
  </si>
  <si>
    <t>TEE 2 1/2"</t>
  </si>
  <si>
    <t>TUBERÍA PRESIÓN PVC 3/4</t>
  </si>
  <si>
    <t>TUBERÍA PRESIÓN PVC 1 1/4"</t>
  </si>
  <si>
    <t>TUBERÍA PRESIÓN PVC 2 1/2"</t>
  </si>
  <si>
    <t>TUBERÍA PRESIÓN PVC 3"</t>
  </si>
  <si>
    <t>TUBERÍA PRESIÓN PVC 4"</t>
  </si>
  <si>
    <t>UNIÓN 3/4"</t>
  </si>
  <si>
    <t>UNIÓN 1 1/4"</t>
  </si>
  <si>
    <t>UNIÓN 1 1/2"</t>
  </si>
  <si>
    <t>UNIÓN 2 1/2"</t>
  </si>
  <si>
    <t>UNIVERSAL PVC SOLDADA  1/2"</t>
  </si>
  <si>
    <t>UNIVERSAL PVC SOLDADA  3/4"</t>
  </si>
  <si>
    <t>UNIVERSAL PVC SOLDADA 1 1/4"</t>
  </si>
  <si>
    <t>UNIVERSAL PVC SOLDADA 1 1/2"</t>
  </si>
  <si>
    <t>VALVULA PVC  1/2</t>
  </si>
  <si>
    <t>VALVULA PVC  3/4"</t>
  </si>
  <si>
    <t>VALVULA PVC  1"</t>
  </si>
  <si>
    <t>VALVULA PVC  1 1/4"</t>
  </si>
  <si>
    <t>VALVULA PVC  1 1/2"</t>
  </si>
  <si>
    <t>VALVULA PVC  2"</t>
  </si>
  <si>
    <t>VALVULA ANTI  FRAUDE 1/2"</t>
  </si>
  <si>
    <t>VALVULA FLOTADOR MECANICO COMPLETO 1"</t>
  </si>
  <si>
    <t>GAL  BUJE ROSCADO 2 X 1/2"</t>
  </si>
  <si>
    <t>GAL  BUJE ROSCADO 2" X 1"</t>
  </si>
  <si>
    <t>GAL  BUJE ROSCA  1/2" X 1/4"</t>
  </si>
  <si>
    <t>GAL  BUJE ROSCA 3/4"  X 1/2"</t>
  </si>
  <si>
    <t>GAL  BUJE ROSCA 1 1/2" X 1 1/4"</t>
  </si>
  <si>
    <t>GAL  BUJE ROSCA 1" X 1/2"</t>
  </si>
  <si>
    <t>GAL  CODO GALVANIZADO 1/4"</t>
  </si>
  <si>
    <t>GAL  CODO ROSCA INOX  1 1/4"</t>
  </si>
  <si>
    <t>GAL  CODO ROSCADO MACHO HEMBRA 1/2"</t>
  </si>
  <si>
    <t>GAL  CODO ROSCADO 1/2"</t>
  </si>
  <si>
    <t>GAL  CODO ROSCADO  2"</t>
  </si>
  <si>
    <t>GAL  FILTRO 1"</t>
  </si>
  <si>
    <t>GAL  MEDIDOR DE AGUA PULGADA</t>
  </si>
  <si>
    <t>GAL  NIPLE ROSCADO 1/2"  15 CM</t>
  </si>
  <si>
    <t>GAL  NIPLE TUERCA GALVANIZADO 2 1/2"</t>
  </si>
  <si>
    <t>GAL  NIPLE TUERCA INOX  1 1/4"</t>
  </si>
  <si>
    <t>GAL  NIPLE RANURADO  1 1/2" 15 CM</t>
  </si>
  <si>
    <t>GAL  NIPLE RANURADO  2"  8 CM</t>
  </si>
  <si>
    <t>GAL  NIPLE RANURADO  2"   30 CM</t>
  </si>
  <si>
    <t>GAL  NIPLE ROSCA RANURA   2"  9 CM</t>
  </si>
  <si>
    <t>GAL  NIPLE ROSCADO  1 1/4"  10 CM</t>
  </si>
  <si>
    <t>GAL  NIPLE ROSCA RANURA  2"  5 CM</t>
  </si>
  <si>
    <t>GAL  NIPLE ROSCA RANURA  2"  41 CM</t>
  </si>
  <si>
    <t>GAL  REDUCCION COPA ROSCADA INOX 2" X 1 1/4"</t>
  </si>
  <si>
    <t>GAL  REDUCCION COPA GALVANIZADA ROSCADA  1" X 1/2"</t>
  </si>
  <si>
    <t>GAL  REDUCCION COPA GALVANIZADA ROSCA RANURA  1 1/2" X 1"</t>
  </si>
  <si>
    <t>GAL  SEMICODO ROSCA INOX 1 1/4"</t>
  </si>
  <si>
    <t>GAL TAPÓN RANURADO 1 1/2"</t>
  </si>
  <si>
    <t>GAL TEE GALVANIZADA 2"</t>
  </si>
  <si>
    <t>GAL TEE RANURADA 1 1/2"</t>
  </si>
  <si>
    <t>GAL UNIÓN  GALVANIZADA 1 1/2"</t>
  </si>
  <si>
    <t>GAL UNIÓN GALVANIZADA 3"</t>
  </si>
  <si>
    <t>GAL UNIÓN RANURADA 2"</t>
  </si>
  <si>
    <t>GAL UNION RANURADA 1 1/4"</t>
  </si>
  <si>
    <t>UNIVERSAL ACERO CARBÓN 1/2"</t>
  </si>
  <si>
    <t>UNIVERSAL A INOX 1 1/2"</t>
  </si>
  <si>
    <t>VALVULA GALVANIZADA BOLA 1"</t>
  </si>
  <si>
    <t>GAL VALVULA GABINETE RCI 1 1/2"</t>
  </si>
  <si>
    <t>SOLDADURA PVC PAVCO 1/4</t>
  </si>
  <si>
    <t>TUBERÍA PRESIÓN PVC 1"</t>
  </si>
  <si>
    <t>TUBERÍA PRESIÓN PVC 2"</t>
  </si>
  <si>
    <t>LIMPIADOR PVC 1/4</t>
  </si>
  <si>
    <t>TEFLON CELLUX GAS 3/4*8ML</t>
  </si>
  <si>
    <t>VALVULA FLOTADOR MECANICO COMPLETO 1 1/2"</t>
  </si>
  <si>
    <t>UNION RAPIDA U. MECANICA 3"</t>
  </si>
  <si>
    <t>BOLSA DE ESTOPA</t>
  </si>
  <si>
    <t>L DE 85 X 50 PLATINA SOLDADA CON HUECOS  DE 3/8 Y CHAZO EXPANSIVO 3/8</t>
  </si>
  <si>
    <t>UNIVERSAL PVC PRESION SOLDAR 2 1/2"</t>
  </si>
  <si>
    <t>SOLDADURA WET BODING 1/4</t>
  </si>
  <si>
    <t>SOLDADURA WET BODING 1/16</t>
  </si>
  <si>
    <t>ULTRA COLOR AZUL OSCURO</t>
  </si>
  <si>
    <t>NIPLE A/C 1/4" X 10 CM</t>
  </si>
  <si>
    <t>CHEQUE VERTICAL (RESORTE) HERBERT 1"</t>
  </si>
  <si>
    <t>NIPLE TUERCA A/C 1 1/2"</t>
  </si>
  <si>
    <t>NIPLE A/C 1 1/2" X 9CM</t>
  </si>
  <si>
    <t>TRANSPORTE H2O</t>
  </si>
  <si>
    <t>TUBO CPVC 1/2"X3ML</t>
  </si>
  <si>
    <t>ABRAZADERA PERPENDICULAR 1/2"</t>
  </si>
  <si>
    <t>UNION CPVC 1/2"</t>
  </si>
  <si>
    <t>CODO 90CPVC 1/2"</t>
  </si>
  <si>
    <t>RIEL TROQUELADO 4 X 2"</t>
  </si>
  <si>
    <t>KIT UNIVERSAL MARCA FRANKLIN ELECTRIC 1 1/2</t>
  </si>
  <si>
    <t>CODO 45 CPVC1\2</t>
  </si>
  <si>
    <t>BROCA 1/4 X6  DEWALT</t>
  </si>
  <si>
    <t>BROCHA 2" HOPEX</t>
  </si>
  <si>
    <t>SELLO MECANICO 5/8 RCNBR</t>
  </si>
  <si>
    <t>SELLO MECANICO 3 CUARTOS TIPO 6</t>
  </si>
  <si>
    <t>RODAMIENTO RBR 6205 a 2RS-RBR</t>
  </si>
  <si>
    <t>RODAMIENTO RBR 6203 2RSC3</t>
  </si>
  <si>
    <t>RODAMIENTO RBR 6207 2RSC3</t>
  </si>
  <si>
    <t>RODAMIENTO RBR 6309 2RSC3</t>
  </si>
  <si>
    <t>RODAMIENTO RBR 6302 2RSC3</t>
  </si>
  <si>
    <t>LUBRICANTE WD 40 X 11oz</t>
  </si>
  <si>
    <t>RODAMIENTO 6204 - 2RS - RBR</t>
  </si>
  <si>
    <t>RODAMIENTO 6305 - 2RS - RBR</t>
  </si>
  <si>
    <t>RODAMIENTO 6201 - 2RS - RBR</t>
  </si>
  <si>
    <t>CONTACTOR CHINT 32 AMP</t>
  </si>
  <si>
    <t>PRESOSTATO 30 X 50</t>
  </si>
  <si>
    <t>RELE TERMICO 23 a 32 A CHINT</t>
  </si>
  <si>
    <t>SENSOR NIVEL LOVATO</t>
  </si>
  <si>
    <t>SENSOR NIVEL PEDROLO PARA AGUAS RESIDUALES 10A</t>
  </si>
  <si>
    <t>TERMINALES EN OJO  48 A CALIBRE 10 a 12</t>
  </si>
  <si>
    <t>TORNILLO AUTOPERFOTANTE CABEZA LENTEJA 8 X  MEDIA PULGADA</t>
  </si>
  <si>
    <t>CABLE TIPO VEHICULO #18</t>
  </si>
  <si>
    <t>CINTA TEMFLEX 3M 18MT NEGRA</t>
  </si>
  <si>
    <t>MANDRIL PARA SIERRA COPA 3/4 A 1 1/8 MULTIMARCA</t>
  </si>
  <si>
    <t>CONECTOR CURVO 1/2</t>
  </si>
  <si>
    <t>CINTA AUTOFUNDENTE TEMPLEX</t>
  </si>
  <si>
    <t>RELE TERMICO 9-13A CHINT</t>
  </si>
  <si>
    <t>ESPIRAL PARA CABLE 1/2"</t>
  </si>
  <si>
    <t>BRAKER 2X20A 230/400V 6KA C IEC RIEL</t>
  </si>
  <si>
    <t>CAPACITOR MARCHA 15 MFD</t>
  </si>
  <si>
    <t>COSTO UNITARIO</t>
  </si>
  <si>
    <t>Código Ítem</t>
  </si>
  <si>
    <t>A002</t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</si>
  <si>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</si>
  <si>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</si>
  <si>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</si>
  <si>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</si>
  <si>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</si>
  <si>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</si>
  <si>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</si>
  <si>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</si>
  <si>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</si>
  <si>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</si>
  <si>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</si>
  <si>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</si>
  <si>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</si>
  <si>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</si>
  <si>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</si>
  <si>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</si>
  <si>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</si>
  <si>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</si>
  <si>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</si>
  <si>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</si>
  <si>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</si>
  <si>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</si>
  <si>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</si>
  <si>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</si>
  <si>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</si>
  <si>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</si>
  <si>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</si>
  <si>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</si>
  <si>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</si>
  <si>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</si>
  <si>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</si>
  <si>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</si>
  <si>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</si>
  <si>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</si>
  <si>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</si>
  <si>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</si>
  <si>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</si>
  <si>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</si>
  <si>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</si>
  <si>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</si>
  <si>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</si>
  <si>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</si>
  <si>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</si>
  <si>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</si>
  <si>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</si>
  <si>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</si>
  <si>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</si>
  <si>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</si>
  <si>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</si>
  <si>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</si>
  <si>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</si>
  <si>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</si>
  <si>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</si>
  <si>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</si>
  <si>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</si>
  <si>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</si>
  <si>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</si>
  <si>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</si>
  <si>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</si>
  <si>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</si>
  <si>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A064</t>
  </si>
  <si>
    <t>A065</t>
  </si>
  <si>
    <t>A066</t>
  </si>
  <si>
    <t>A067</t>
  </si>
  <si>
    <t>A068</t>
  </si>
  <si>
    <t>A069</t>
  </si>
  <si>
    <t>A070</t>
  </si>
  <si>
    <t>A071</t>
  </si>
  <si>
    <t>A072</t>
  </si>
  <si>
    <t>A073</t>
  </si>
  <si>
    <t>A076</t>
  </si>
  <si>
    <t>A079</t>
  </si>
  <si>
    <t>A080</t>
  </si>
  <si>
    <t>A081</t>
  </si>
  <si>
    <t>A083</t>
  </si>
  <si>
    <t>A084</t>
  </si>
  <si>
    <t>A085</t>
  </si>
  <si>
    <t>A086</t>
  </si>
  <si>
    <t>A087</t>
  </si>
  <si>
    <t>A088</t>
  </si>
  <si>
    <t>A089</t>
  </si>
  <si>
    <t>A090</t>
  </si>
  <si>
    <t>A091</t>
  </si>
  <si>
    <t>A092</t>
  </si>
  <si>
    <t>A093</t>
  </si>
  <si>
    <t>A095</t>
  </si>
  <si>
    <t>A096</t>
  </si>
  <si>
    <t>A097</t>
  </si>
  <si>
    <t>A098</t>
  </si>
  <si>
    <t>A099</t>
  </si>
  <si>
    <t>A100</t>
  </si>
  <si>
    <t>A101</t>
  </si>
  <si>
    <t>A102</t>
  </si>
  <si>
    <t>A103</t>
  </si>
  <si>
    <t>A104</t>
  </si>
  <si>
    <t>A105</t>
  </si>
  <si>
    <t>A107</t>
  </si>
  <si>
    <t>A108</t>
  </si>
  <si>
    <t>A110</t>
  </si>
  <si>
    <t>A111</t>
  </si>
  <si>
    <t>A112</t>
  </si>
  <si>
    <t>A113</t>
  </si>
  <si>
    <t>A117</t>
  </si>
  <si>
    <t>A118</t>
  </si>
  <si>
    <t>A119</t>
  </si>
  <si>
    <t>A120</t>
  </si>
  <si>
    <t>A121</t>
  </si>
  <si>
    <t>A122</t>
  </si>
  <si>
    <t>A123</t>
  </si>
  <si>
    <t>A125</t>
  </si>
  <si>
    <t>A127</t>
  </si>
  <si>
    <t>A128</t>
  </si>
  <si>
    <t>A129</t>
  </si>
  <si>
    <t>A130</t>
  </si>
  <si>
    <t>A133</t>
  </si>
  <si>
    <t>A134</t>
  </si>
  <si>
    <t>A136</t>
  </si>
  <si>
    <t>A137</t>
  </si>
  <si>
    <t>A138</t>
  </si>
  <si>
    <t>A139</t>
  </si>
  <si>
    <t>A140</t>
  </si>
  <si>
    <t>A141</t>
  </si>
  <si>
    <t>A143</t>
  </si>
  <si>
    <t>A144</t>
  </si>
  <si>
    <t>A150</t>
  </si>
  <si>
    <t>A152</t>
  </si>
  <si>
    <t>A153</t>
  </si>
  <si>
    <t>A154</t>
  </si>
  <si>
    <t>A156</t>
  </si>
  <si>
    <t>A157</t>
  </si>
  <si>
    <t>A158</t>
  </si>
  <si>
    <t>A159</t>
  </si>
  <si>
    <t>A160</t>
  </si>
  <si>
    <t>A162</t>
  </si>
  <si>
    <t>A164</t>
  </si>
  <si>
    <t>A187</t>
  </si>
  <si>
    <t>A189</t>
  </si>
  <si>
    <t>A190</t>
  </si>
  <si>
    <t>A191</t>
  </si>
  <si>
    <t>A192</t>
  </si>
  <si>
    <t>A193</t>
  </si>
  <si>
    <t>A194</t>
  </si>
  <si>
    <t>A195</t>
  </si>
  <si>
    <t>A197</t>
  </si>
  <si>
    <t>A200</t>
  </si>
  <si>
    <t>A206</t>
  </si>
  <si>
    <t>A213</t>
  </si>
  <si>
    <t>A216</t>
  </si>
  <si>
    <t>A219</t>
  </si>
  <si>
    <t>A220</t>
  </si>
  <si>
    <t>A225</t>
  </si>
  <si>
    <t>A237</t>
  </si>
  <si>
    <t>A252</t>
  </si>
  <si>
    <t>A255</t>
  </si>
  <si>
    <t>A259</t>
  </si>
  <si>
    <t>A260</t>
  </si>
  <si>
    <t>A261</t>
  </si>
  <si>
    <t>A264</t>
  </si>
  <si>
    <t>A266</t>
  </si>
  <si>
    <t>A267</t>
  </si>
  <si>
    <t>A269</t>
  </si>
  <si>
    <t>A302</t>
  </si>
  <si>
    <t>A307</t>
  </si>
  <si>
    <t>A309</t>
  </si>
  <si>
    <t>A310</t>
  </si>
  <si>
    <t>B003</t>
  </si>
  <si>
    <t>B004</t>
  </si>
  <si>
    <t>B012</t>
  </si>
  <si>
    <t>B034</t>
  </si>
  <si>
    <t>B035</t>
  </si>
  <si>
    <t>B036</t>
  </si>
  <si>
    <t>B037</t>
  </si>
  <si>
    <t>B067</t>
  </si>
  <si>
    <t>B077</t>
  </si>
  <si>
    <t>B078</t>
  </si>
  <si>
    <t>B081</t>
  </si>
  <si>
    <t>E007</t>
  </si>
  <si>
    <t>E010</t>
  </si>
  <si>
    <t>E012</t>
  </si>
  <si>
    <t>E016</t>
  </si>
  <si>
    <t>E020</t>
  </si>
  <si>
    <t>E021</t>
  </si>
  <si>
    <t>E022</t>
  </si>
  <si>
    <t>E023</t>
  </si>
  <si>
    <t>E030</t>
  </si>
  <si>
    <t>E041</t>
  </si>
  <si>
    <t>E042</t>
  </si>
  <si>
    <t>E052</t>
  </si>
  <si>
    <t>E067</t>
  </si>
  <si>
    <t>E076</t>
  </si>
  <si>
    <t>E087</t>
  </si>
  <si>
    <t>E117</t>
  </si>
  <si>
    <t>E128</t>
  </si>
  <si>
    <t>A001</t>
  </si>
  <si>
    <t>ACCESORIOS</t>
  </si>
  <si>
    <t>C</t>
  </si>
  <si>
    <t>A299</t>
  </si>
  <si>
    <t>SUMINISTRO E INSTALACIÓN DE FLOTADOR MECÁNICO SISTEMA DE IMPULSIÓN</t>
  </si>
  <si>
    <t>VISITA TÉCNICA REINICIO SISTEMA DE IMPULSIÓN POR REBOSE EN TANQUES</t>
  </si>
  <si>
    <t>SUMINISTRO E INSTALACIÓN DE CONTACTOR  SISTEMA DE PRESIÓN  T2</t>
  </si>
  <si>
    <t>CORRECCIÓN HIDRÁULICA SISTEMA DE PRESIÓN T2.</t>
  </si>
  <si>
    <t>REPARACIÓN BOMBA  JOCKEY  RCI</t>
  </si>
  <si>
    <t>V998</t>
  </si>
  <si>
    <t>COSTOS ADICIONALES</t>
  </si>
  <si>
    <t>MUESTRA MICROBIOLÓGICA DESPUÉS DEL LAVADO</t>
  </si>
  <si>
    <t>A074</t>
  </si>
  <si>
    <t>TUBERÍA PRESIÓN PVC 1/2"</t>
  </si>
  <si>
    <t>A077</t>
  </si>
  <si>
    <t>TUBERÍA PRESIÓN PVC 1 1/2"</t>
  </si>
  <si>
    <t>CORRECCIÓN HIDRÁULICA SISTEMA DE PRESIÓN BOMBA 2,  T1.</t>
  </si>
  <si>
    <t>A082</t>
  </si>
  <si>
    <t>UNIÓN 1/2"</t>
  </si>
  <si>
    <t>A114</t>
  </si>
  <si>
    <t>GAL  CHEQUE COMPUERTA  1 1/2"</t>
  </si>
  <si>
    <t>A126</t>
  </si>
  <si>
    <t>GAL  NIPLE TUERCA GALVANIZADO 2"</t>
  </si>
  <si>
    <t>A131</t>
  </si>
  <si>
    <t>GAL  NIPLE ROSCA RANURA   2 1/2"  8 CM</t>
  </si>
  <si>
    <t>A142</t>
  </si>
  <si>
    <t>GAL REGULDOR DE PRESIÓN 1"</t>
  </si>
  <si>
    <t>A145</t>
  </si>
  <si>
    <t>GAL  TAPÓN RANURADO 2"</t>
  </si>
  <si>
    <t>A148</t>
  </si>
  <si>
    <t>GAL TEE GALVANIZADA 1/4"</t>
  </si>
  <si>
    <t>A155</t>
  </si>
  <si>
    <t>GAL UNIÓN RANURADA 1 1/2"</t>
  </si>
  <si>
    <t>A167</t>
  </si>
  <si>
    <t>CHEQUE DE PIE 2" 150P HELBERT</t>
  </si>
  <si>
    <t>A168</t>
  </si>
  <si>
    <t>CHEQUE CORTINA BRONCE DE 2" ITALY</t>
  </si>
  <si>
    <t>A169</t>
  </si>
  <si>
    <t>VALVULA COMPUERTA BRONCE DE 2"</t>
  </si>
  <si>
    <t>A170</t>
  </si>
  <si>
    <t>VALVULA COMPUERTA BRONCE DE 1"</t>
  </si>
  <si>
    <t>A171</t>
  </si>
  <si>
    <t>MANOMETRO CARDE 2" CVB  1/4" 0-100 SECO</t>
  </si>
  <si>
    <t>A172</t>
  </si>
  <si>
    <t>VALVULA REGULADOR P/AGUA 2"</t>
  </si>
  <si>
    <t>A175</t>
  </si>
  <si>
    <t>SUELDATODO SOLDADURA EN FRIO</t>
  </si>
  <si>
    <t>A177</t>
  </si>
  <si>
    <t>TANQUE HIDROFLO C50H</t>
  </si>
  <si>
    <t>A178</t>
  </si>
  <si>
    <t>NIPLE A/C SCH40 DE 3" X 3"</t>
  </si>
  <si>
    <t>A179</t>
  </si>
  <si>
    <t>UNION RANURADA 3"</t>
  </si>
  <si>
    <t>A180</t>
  </si>
  <si>
    <t>UNION RANURADA DE 2 1/2"</t>
  </si>
  <si>
    <t>A181</t>
  </si>
  <si>
    <t>CODO RANURADO DE 2 1/2"</t>
  </si>
  <si>
    <t>A182</t>
  </si>
  <si>
    <t>NIPLE GALVANIZADO 1" X 1 MTR</t>
  </si>
  <si>
    <t>A183</t>
  </si>
  <si>
    <t>NIPLE A/C SCH40 DE 2 1/2" X 6" ROSCA - RANURA</t>
  </si>
  <si>
    <t>A184</t>
  </si>
  <si>
    <t>COPA RANURADA DE 3" X 2 1/2"</t>
  </si>
  <si>
    <t>A185</t>
  </si>
  <si>
    <t>VALVULA CANASTILLA PURGA DE AIRE 2"</t>
  </si>
  <si>
    <t>A186</t>
  </si>
  <si>
    <t>SOLDADURA PVC 1/16 PAVCO</t>
  </si>
  <si>
    <t>A196</t>
  </si>
  <si>
    <t>VALVULA FLOTADOR MECANICO SOLA 1"</t>
  </si>
  <si>
    <t>A199</t>
  </si>
  <si>
    <t>VALVULA FLOTADORA MECANICA 3/4" SOLA</t>
  </si>
  <si>
    <t>A201</t>
  </si>
  <si>
    <t>ULTRA COLOR NEGRO BRILLANTE</t>
  </si>
  <si>
    <t>A203</t>
  </si>
  <si>
    <t>CHAZO TIPO CAMISA 3/8"</t>
  </si>
  <si>
    <t>A205</t>
  </si>
  <si>
    <t>CHEQUE RESORTE HELBERT 1 1/2"</t>
  </si>
  <si>
    <t>A207</t>
  </si>
  <si>
    <t>ABRAZADERA AJUSTABLE PERPENDICULAR 2"</t>
  </si>
  <si>
    <t>A208</t>
  </si>
  <si>
    <t>BOLA COBRE FLOTADOR MECANICO SOLA 1" -  1 1/2"</t>
  </si>
  <si>
    <t>A209</t>
  </si>
  <si>
    <t>VARILLA FLOTADOR MECANICO 5/16 X 55cm DE 1 1/2"</t>
  </si>
  <si>
    <t>A210</t>
  </si>
  <si>
    <t>CRUZ MECH 180 RANURADA 2"</t>
  </si>
  <si>
    <t>A211</t>
  </si>
  <si>
    <t>NIPLE A/C 2" X 10 CM ROSCA / RANURA</t>
  </si>
  <si>
    <t>A212</t>
  </si>
  <si>
    <t>NIPLE A/C 2" X 20 CM ROSCA / RANURA</t>
  </si>
  <si>
    <t>A214</t>
  </si>
  <si>
    <t>MENSULA 40 CM</t>
  </si>
  <si>
    <t>A215</t>
  </si>
  <si>
    <t>NIPLE INOX 10 CM  2"</t>
  </si>
  <si>
    <t>A217</t>
  </si>
  <si>
    <t>VALVULA BOLA PVC SOLDAR COMPACTO JAGUAR 3"</t>
  </si>
  <si>
    <t>A221</t>
  </si>
  <si>
    <t>VALVULA UNIVERSAL PVC SOLDADA 2"</t>
  </si>
  <si>
    <t>A222</t>
  </si>
  <si>
    <t>NIPLE  A/C 1 1/2" X 22,2 CM ROSCA / RANURA</t>
  </si>
  <si>
    <t>A223</t>
  </si>
  <si>
    <t>NIPLE ROSCADO 1 1/2"  X 8 CM</t>
  </si>
  <si>
    <t>A224</t>
  </si>
  <si>
    <t>DOSIFICADOR CLORO SPL  4.2 LBS</t>
  </si>
  <si>
    <t>A227</t>
  </si>
  <si>
    <t>CHEQUE COMPUERTA BRONCE 125/200L DOUBLE LIN 2 1/2"</t>
  </si>
  <si>
    <t>A228</t>
  </si>
  <si>
    <t>VALVULA FLOTADOR MECANICO COMPLETA HELBERT 1/2"</t>
  </si>
  <si>
    <t>A230</t>
  </si>
  <si>
    <t>NIPLE A/C 1 1/4" X 15 CM  ROSCA / RANURA</t>
  </si>
  <si>
    <t>A231</t>
  </si>
  <si>
    <t>NIPLE A/C 1 1/4" X 1.35 CM ROSCA / RANURA</t>
  </si>
  <si>
    <t>A232</t>
  </si>
  <si>
    <t>CODO RANURADO 1 1/4"</t>
  </si>
  <si>
    <t>A233</t>
  </si>
  <si>
    <t>CHEQUE VERTICAL RESORTE HELBERT 2"</t>
  </si>
  <si>
    <t>A238</t>
  </si>
  <si>
    <t>CHEQUE DE PIE BRONCE DOUBLE LIN 1 1/2"</t>
  </si>
  <si>
    <t>A239</t>
  </si>
  <si>
    <t>NIPLE A/C 1 1/2" X 10 CM ROSCA / RANURA</t>
  </si>
  <si>
    <t>A240</t>
  </si>
  <si>
    <t>NIPLE A/C 1 1/2" X 10 CM ROSCADO</t>
  </si>
  <si>
    <t>A241</t>
  </si>
  <si>
    <t>BRIDA PVC SLIP ON GIRATORIA SCH 40 150L 2 1/2"</t>
  </si>
  <si>
    <t>A242</t>
  </si>
  <si>
    <t>VALVULA PVC ROSCADA 1 1/2"</t>
  </si>
  <si>
    <t>A243</t>
  </si>
  <si>
    <t>CANILLA (MANGUERA) 1/2" X 3/4"</t>
  </si>
  <si>
    <t>A244</t>
  </si>
  <si>
    <t>BUJE PVC ROSCADO 1" X 1/2"</t>
  </si>
  <si>
    <t>A245</t>
  </si>
  <si>
    <t>NIPLE A / INOX ROSCADO 1 1/2"  X  49CM</t>
  </si>
  <si>
    <t>A246</t>
  </si>
  <si>
    <t>UNION ROSCADA A / INOX 2"</t>
  </si>
  <si>
    <t>A247</t>
  </si>
  <si>
    <t>BUJE ROSCADO  A / INOX 2" X 1 1/2"</t>
  </si>
  <si>
    <t>A248</t>
  </si>
  <si>
    <t>TANQUE HIDRONEUMATICO METAL VAREM 8L MEMBRANA</t>
  </si>
  <si>
    <t>A249</t>
  </si>
  <si>
    <t>BRIDA PVS SLIP ON GIRATORIA SCH 40 150L 1 1/2"</t>
  </si>
  <si>
    <t>A251</t>
  </si>
  <si>
    <t>CHEQUE DE PIE BRONCE DOUBLE LIN 2"</t>
  </si>
  <si>
    <t>A253</t>
  </si>
  <si>
    <t>MANOMETRO GLICERINA 0 - 100 PSI</t>
  </si>
  <si>
    <t>A254</t>
  </si>
  <si>
    <t>TAPON MACHO A/C 1/2"</t>
  </si>
  <si>
    <t>A256</t>
  </si>
  <si>
    <t>VALVULA FLOTADOR MECANICO COMPLETA HELBERT 2"</t>
  </si>
  <si>
    <t>A258</t>
  </si>
  <si>
    <t>TORNILLO 1/4 - JUEGO COMPLETO ARANDELA TUERCA</t>
  </si>
  <si>
    <t>A265</t>
  </si>
  <si>
    <t>DISCO CORTE A/INOX</t>
  </si>
  <si>
    <t>A270</t>
  </si>
  <si>
    <t>BRIDA PVC SLIP ON GIRATORIA SCH 40 150L 4"</t>
  </si>
  <si>
    <t>A292</t>
  </si>
  <si>
    <t>PRESOSTATO P\ AGUA 40-60 PSI</t>
  </si>
  <si>
    <t>A295</t>
  </si>
  <si>
    <t>VALVULA UNIVERSAL PVC SOLDADA 1 1/2"</t>
  </si>
  <si>
    <t>A296</t>
  </si>
  <si>
    <t>silicona roja super flex</t>
  </si>
  <si>
    <t>A297</t>
  </si>
  <si>
    <t>VALVULA COMPUERTA BRONCE RED WHITE FIG 206A 1 1/2"</t>
  </si>
  <si>
    <t>A300</t>
  </si>
  <si>
    <t>VALVULA FLOTADORA BRONCE 2"</t>
  </si>
  <si>
    <t>A304</t>
  </si>
  <si>
    <t>VALVULA BOLA PVC MONO RADIAL X 300 PSI 1" 1\2</t>
  </si>
  <si>
    <t>A308</t>
  </si>
  <si>
    <t>TAPON SOLDADO 1 1/2</t>
  </si>
  <si>
    <t>A328</t>
  </si>
  <si>
    <t>RESINA</t>
  </si>
  <si>
    <t>B001</t>
  </si>
  <si>
    <t>SELLO MECANICO PULGADA Y MEDIA TIPO 21</t>
  </si>
  <si>
    <t>B002</t>
  </si>
  <si>
    <t>SELLO MECANICO PULGADA Y CUARTO TIPO 21</t>
  </si>
  <si>
    <t>B007</t>
  </si>
  <si>
    <t>RODAMIENTO RBR 6307 a 2RS</t>
  </si>
  <si>
    <t>B009</t>
  </si>
  <si>
    <t>RODAMIENTO RBR 6202 a 2RSC3</t>
  </si>
  <si>
    <t>B016</t>
  </si>
  <si>
    <t>RODAMIENTO KOYO 6203 a 2RSC3</t>
  </si>
  <si>
    <t>B021</t>
  </si>
  <si>
    <t>IHM  TANQUE HIDRONEUMÁTICO VERTICAL MENBRANA 200 LTS</t>
  </si>
  <si>
    <t>B023</t>
  </si>
  <si>
    <t>MOTOBOMBA SUMERGIBLE MARCA PEDROLLO MODELO TOP2 0.5/ 1PH/110V</t>
  </si>
  <si>
    <t>B026</t>
  </si>
  <si>
    <t>RODAMIENTO 6206-2RS-RBR</t>
  </si>
  <si>
    <t>B038</t>
  </si>
  <si>
    <t>CAPACITOR 216 - 259 UF 250 VAC</t>
  </si>
  <si>
    <t>B040</t>
  </si>
  <si>
    <t>VENTILADOR PLASTICO DE 28MM</t>
  </si>
  <si>
    <t>B042</t>
  </si>
  <si>
    <t>ELECTROBOMBA TRITUS 1.1  1.5HP  220V  60HZ</t>
  </si>
  <si>
    <t>B043</t>
  </si>
  <si>
    <t>RODAMIENTO  6307-2RSC3-KOYO</t>
  </si>
  <si>
    <t>B044</t>
  </si>
  <si>
    <t>PIN INT :35.2  A38</t>
  </si>
  <si>
    <t>B045</t>
  </si>
  <si>
    <t>BUJE CASQUILLO S.M  1 1/2"</t>
  </si>
  <si>
    <t>B046</t>
  </si>
  <si>
    <t>TORNILLO HEXAGONA GALVANIZADO 5/16 X 1 1/4"  RO</t>
  </si>
  <si>
    <t>B047</t>
  </si>
  <si>
    <t>TORNILLO HEXAGONA GALVANIZADO 5/16 X 2"  RO</t>
  </si>
  <si>
    <t>B049</t>
  </si>
  <si>
    <t>CORTE CASQUILLO</t>
  </si>
  <si>
    <t>B050</t>
  </si>
  <si>
    <t>FABRICACION DE EJE EXTENSION 20HH 15T</t>
  </si>
  <si>
    <t>B051</t>
  </si>
  <si>
    <t>ULTRA COLOR ROJO</t>
  </si>
  <si>
    <t>B052</t>
  </si>
  <si>
    <t>EMPAQUE CARCASA</t>
  </si>
  <si>
    <t>B053</t>
  </si>
  <si>
    <t>RODAMIENTO BOLAS 7204B - KOYO</t>
  </si>
  <si>
    <t>B054</t>
  </si>
  <si>
    <t>SELLO MECANICO PARA BOMBA LIBERTY</t>
  </si>
  <si>
    <t>B055</t>
  </si>
  <si>
    <t>RETENEDOR PARA BOMBA LIBERTY</t>
  </si>
  <si>
    <t>B056</t>
  </si>
  <si>
    <t>ORING BUNA 163</t>
  </si>
  <si>
    <t>B057</t>
  </si>
  <si>
    <t>ORING BUNA 257</t>
  </si>
  <si>
    <t>B058</t>
  </si>
  <si>
    <t>SELLO MECANICO 155 20MM CA/CE</t>
  </si>
  <si>
    <t>B059</t>
  </si>
  <si>
    <t>RETENEDOR MILIMETRICO R20X30X7D.SOG</t>
  </si>
  <si>
    <t>B060</t>
  </si>
  <si>
    <t>RODAMIENTO BOLAS 6304-2RS-RBR</t>
  </si>
  <si>
    <t>B061</t>
  </si>
  <si>
    <t>ACEITE DIELECTRICO GALON</t>
  </si>
  <si>
    <t>B062</t>
  </si>
  <si>
    <t>BOBINADO MOTOR 3HP TRIFASICO</t>
  </si>
  <si>
    <t>B064</t>
  </si>
  <si>
    <t>KIT CARTUCHO BMV12-70-1003 NEW</t>
  </si>
  <si>
    <t>B065</t>
  </si>
  <si>
    <t>SELLO MECANICO 1 1/4" RL PAC-SEAL</t>
  </si>
  <si>
    <t>B066</t>
  </si>
  <si>
    <t>ORING BUNA  164</t>
  </si>
  <si>
    <t>B068</t>
  </si>
  <si>
    <t>SELLO MECANICO BOTON 20 mm CA/CE NBR PARA BOMBA PEDROLO</t>
  </si>
  <si>
    <t>B069</t>
  </si>
  <si>
    <t>SELLO MECANICO BOTON 19 mm C.S/C.S - VITON PARA BOMBA PEDROLO</t>
  </si>
  <si>
    <t>B070</t>
  </si>
  <si>
    <t>IMPULSOR BARNES 1515 HHE PLAS 1^CUÑA</t>
  </si>
  <si>
    <t>B072</t>
  </si>
  <si>
    <t>SELLO MECANICO GRUNDFOS 16mm TIPO AGRUNDFOS</t>
  </si>
  <si>
    <t>B073</t>
  </si>
  <si>
    <t>MOTOBOMBA IHM 15H - 3TW IE3 RSS</t>
  </si>
  <si>
    <t>B074</t>
  </si>
  <si>
    <t>RODAMIENTO 6204 2RS ARSA</t>
  </si>
  <si>
    <t>B075</t>
  </si>
  <si>
    <t>CAUCHO NEOPRENO DE 20 X 50 CM</t>
  </si>
  <si>
    <t>B076</t>
  </si>
  <si>
    <t>IMPULSOR INOX IHM 15 H - 2 TW 162MM</t>
  </si>
  <si>
    <t>B084</t>
  </si>
  <si>
    <t>VENTILADOR PLASTICO DE 15 mm</t>
  </si>
  <si>
    <t>B085</t>
  </si>
  <si>
    <t>IMPULSOR 15 H - 3T</t>
  </si>
  <si>
    <t>B089</t>
  </si>
  <si>
    <t>EMPAQUE ESPIROTALICO 2" PARA FLANCHE</t>
  </si>
  <si>
    <t>E002</t>
  </si>
  <si>
    <t>BLOQUE AUXILIAR  2NA MAS 2NC</t>
  </si>
  <si>
    <t>E011</t>
  </si>
  <si>
    <t>CONTACTOR CHINT 40 AMP</t>
  </si>
  <si>
    <t>E024</t>
  </si>
  <si>
    <t>E027</t>
  </si>
  <si>
    <t>E029</t>
  </si>
  <si>
    <t>ELECTROVALVULA C/SOLENOIDE NC A  24 V S-IR-210-2W PLAST NC NPT 1" BERMAD</t>
  </si>
  <si>
    <t>E032</t>
  </si>
  <si>
    <t>CAJA DE PASO 20X20X12 ACME</t>
  </si>
  <si>
    <t>E033</t>
  </si>
  <si>
    <t>MARCACION ANILLO AR1</t>
  </si>
  <si>
    <t>E034</t>
  </si>
  <si>
    <t>PRESOSTATO 60-180 PSI DANFOS</t>
  </si>
  <si>
    <t>E037</t>
  </si>
  <si>
    <t>SELECTOR  MUL 2POS 22MM MET</t>
  </si>
  <si>
    <t>E053</t>
  </si>
  <si>
    <t>CAJA DE PASO 12X12</t>
  </si>
  <si>
    <t>E054</t>
  </si>
  <si>
    <t>CABLE ENCAUCHETADO 2X12</t>
  </si>
  <si>
    <t>E059</t>
  </si>
  <si>
    <t>CHAZO DE 1/4 PLASICO  ESTRIADO</t>
  </si>
  <si>
    <t>E062</t>
  </si>
  <si>
    <t>TEMPORIZADOR</t>
  </si>
  <si>
    <t>E063</t>
  </si>
  <si>
    <t>CAJA METALICA  20 X 20</t>
  </si>
  <si>
    <t>E064</t>
  </si>
  <si>
    <t>CABLE TIPO VEHICULO# 12</t>
  </si>
  <si>
    <t>E065</t>
  </si>
  <si>
    <t>CAJA PLASTICA 20 X 20</t>
  </si>
  <si>
    <t>E066</t>
  </si>
  <si>
    <t>TRANSMISOSR DE PRESION 0-10 BAR</t>
  </si>
  <si>
    <t>E070</t>
  </si>
  <si>
    <t>TRANSFORMADOR 110 X 24 VOLTIOS</t>
  </si>
  <si>
    <t>E071</t>
  </si>
  <si>
    <t>CAJA PLASTICA DE PASO BLANCA 165 X 165 110 IP65 ROKER PR 1007/110</t>
  </si>
  <si>
    <t>E072</t>
  </si>
  <si>
    <t>CONTACTOR 12A AC3 110V AC UL</t>
  </si>
  <si>
    <t>E074</t>
  </si>
  <si>
    <t>BREAKER GENERAL 3X15</t>
  </si>
  <si>
    <t>E080</t>
  </si>
  <si>
    <t>BREAKER ENCHUFABLE 3X100</t>
  </si>
  <si>
    <t>E081</t>
  </si>
  <si>
    <t>CAPACITOR MARCHA 35 MFD</t>
  </si>
  <si>
    <t>E082</t>
  </si>
  <si>
    <t>ARRANCADOR DTO 12-18A 220/230V PLAS</t>
  </si>
  <si>
    <t>E083</t>
  </si>
  <si>
    <t>BREAKER ENCHUFABLE 3X40</t>
  </si>
  <si>
    <t>E084</t>
  </si>
  <si>
    <t>CABLE DUPLEX 2X12</t>
  </si>
  <si>
    <t>E085</t>
  </si>
  <si>
    <t>TOMA DOBLE SNEIDER</t>
  </si>
  <si>
    <t>E086</t>
  </si>
  <si>
    <t>RELE ALT. 8 PINES</t>
  </si>
  <si>
    <t>E088</t>
  </si>
  <si>
    <t>BASE RELE ALT. 8 PINES</t>
  </si>
  <si>
    <t>E090</t>
  </si>
  <si>
    <t>RELE  ALTERNACION CON BASE 11 PINES</t>
  </si>
  <si>
    <t>E092</t>
  </si>
  <si>
    <t>BREAKER ENCHUFABLE 2X20A</t>
  </si>
  <si>
    <t>E106</t>
  </si>
  <si>
    <t>LAM PILOTO LED ROJO C/BUZER 127 VAC (SIRENA, ALARMA)</t>
  </si>
  <si>
    <t>E107</t>
  </si>
  <si>
    <t>CABLE DUPLEX 2X18</t>
  </si>
  <si>
    <t>E108</t>
  </si>
  <si>
    <t>CABLE ENCAUCHETADO 4X12</t>
  </si>
  <si>
    <t>E110</t>
  </si>
  <si>
    <t>CAPACITOR MARCHA 30 MFD, 370V</t>
  </si>
  <si>
    <t>E111</t>
  </si>
  <si>
    <t>TUBO EMT 1/2" FINO</t>
  </si>
  <si>
    <t>E113</t>
  </si>
  <si>
    <t>CURVA EMT 1/2"</t>
  </si>
  <si>
    <t>E114</t>
  </si>
  <si>
    <t>UNION EMT ROSCADA 1/2"</t>
  </si>
  <si>
    <t>E115</t>
  </si>
  <si>
    <t>UNION EMT 1/2" HIERRO (TORNILLO)</t>
  </si>
  <si>
    <t>E119</t>
  </si>
  <si>
    <t>RELE TERMICO 30-40A CHINT</t>
  </si>
  <si>
    <t>E120</t>
  </si>
  <si>
    <t>REGLETA PLASTICA 20A (BORNERA)</t>
  </si>
  <si>
    <t>E121</t>
  </si>
  <si>
    <t>PRENSA CABLE (ESTOPA) PLASTICO PG 13.5</t>
  </si>
  <si>
    <t>E122</t>
  </si>
  <si>
    <t>CAJA DE PASO 20X10X7 CM</t>
  </si>
  <si>
    <t>E125</t>
  </si>
  <si>
    <t>RELE CONTROL DE NIVEL POR ELECTRODOS (LIQUIDOS) LVM25-240 / 220VCA LOVATO</t>
  </si>
  <si>
    <t>E126</t>
  </si>
  <si>
    <t>ELECTRODO (SONDA UNIPOLAR PARA CONTROL DE NIVEL LOVATO)</t>
  </si>
  <si>
    <t>E127</t>
  </si>
  <si>
    <t>TRANSMISOR DE PRESION 0 - 16BAR</t>
  </si>
  <si>
    <t>E132</t>
  </si>
  <si>
    <t>PRESOSTATO P/AGUA 58-152 PSI REG CONEX 1/4 NPT</t>
  </si>
  <si>
    <t xml:space="preserve"> v2</t>
  </si>
  <si>
    <t>VALVULA FLOTADORA BRONCE COMPLETA T/PESADA 150PSI HELBERT 1 1/2</t>
  </si>
  <si>
    <r>
      <t>TORNILLO EMSANBLE 10 X  1</t>
    </r>
    <r>
      <rPr>
        <b/>
        <sz val="10"/>
        <rFont val="Calibri"/>
        <family val="2"/>
      </rPr>
      <t xml:space="preserve">½"  </t>
    </r>
    <r>
      <rPr>
        <b/>
        <sz val="10"/>
        <rFont val="Arial"/>
        <family val="2"/>
      </rPr>
      <t xml:space="preserve"> 1 BOLSA (100)</t>
    </r>
  </si>
  <si>
    <r>
      <t>TORNILLO EMSANBLE 6 X 1</t>
    </r>
    <r>
      <rPr>
        <b/>
        <sz val="10"/>
        <rFont val="Calibri"/>
        <family val="2"/>
      </rPr>
      <t xml:space="preserve">¼"  </t>
    </r>
    <r>
      <rPr>
        <b/>
        <sz val="10"/>
        <rFont val="Arial"/>
        <family val="2"/>
      </rPr>
      <t>1 BOLSA (100)</t>
    </r>
  </si>
  <si>
    <t>SUMINISTRO E IMNSTALACION DE PRESOSTATO SISTEMA DE PRESIÓN  T2.</t>
  </si>
  <si>
    <t>SUMINISTRO E IMNSTALACION DE FLOTADOR MECÁNICO SISTEMA DE PRESIÓN  T2.</t>
  </si>
  <si>
    <t>900010822-6</t>
  </si>
  <si>
    <t>ACOMPAÑAMIENTO REPARACION TUBERÍA DE DESCARGA T2</t>
  </si>
  <si>
    <t>ADECUACION HIDRÁULA POR CAMBIO DE VÁLVULA DE INYECCCIÓN BOMBA PISCINA</t>
  </si>
  <si>
    <t>EVACUACIÓN AGUA CUARTO DE BOMBAS INFERIORES</t>
  </si>
  <si>
    <t xml:space="preserve">REPARACIÓN DE BOBINADOS </t>
  </si>
  <si>
    <t>CAMBIO DE RODAMIENTOS Y SELLOS MECÁNICOS</t>
  </si>
  <si>
    <t>ACEITE DIELÉCTRICO</t>
  </si>
  <si>
    <t>MANO DE OBRA DE INSTALACIÓN Y PUESTA EN FUNCIONAMIENTO</t>
  </si>
  <si>
    <t>SUMINISTRO E INSTALACIÓN DE VALVULA ANTIFRAUDE ANTES DE MEDIDOR APTO 301 T1</t>
  </si>
  <si>
    <t>SUMINISTRO E INSTALACIÓN DE CANILLA SISTEMA DE PRESIÓN TORRE 1</t>
  </si>
  <si>
    <t>CAMBIO TUBERÍA DE DESCARGA SISTEMA DE PRESIÓN</t>
  </si>
  <si>
    <t>SUMINISTRO E INSTALACIÓN DE ELECTRIVALVULA TANQUES SUPERIORES</t>
  </si>
  <si>
    <t>SUMINISTRO E INSTALACIÓN  DE EMPAQUE CORRECCIÓN FUGA BOMBA DE IMPULSIÓN</t>
  </si>
  <si>
    <t>URBANIZACION MILAN CONDOMINIO No. 4 PH</t>
  </si>
  <si>
    <t>800077372-8</t>
  </si>
  <si>
    <t>MARCACION DE TABLERO Y ADECUACIÓN DE CIRCUITO ELECTRICO</t>
  </si>
  <si>
    <t>CORRECCIÓN HIDRÁULICA SISTEMA DE PRESION  T3</t>
  </si>
  <si>
    <t>SUMINISTRO E INSTALACIÓN DE PRESOSTATO RCI T2</t>
  </si>
  <si>
    <t>CORRECCIÓN HIDRÁULICA SISTEMA DE IMPULSIÓN TUBERÍA DE SUCCIÓN</t>
  </si>
  <si>
    <t>CORRECCIÓN HIDRÁULICA SISTEMA DE IMPULSIÓN TUBERÍA DE DESCARGA</t>
  </si>
  <si>
    <t>SUMINISTROP E INSTALACIÓN DE SENSOR DE NIVEL ALTO T1</t>
  </si>
  <si>
    <t>CAMBIO DE TRUBERÍA DE LA BOMBA 1  SISTEMA DE PRESION</t>
  </si>
  <si>
    <t>A331</t>
  </si>
  <si>
    <t>CODO INOX ROSC DE 2"</t>
  </si>
  <si>
    <t>A330</t>
  </si>
  <si>
    <t>UNIVERSAL INOX 304 DE 2"X 150LBS</t>
  </si>
  <si>
    <t>A329</t>
  </si>
  <si>
    <t>NIPLE TUERCA INOX 2"</t>
  </si>
  <si>
    <t>A332</t>
  </si>
  <si>
    <t>NIPLE A/C  SCH 2" X 50CM</t>
  </si>
  <si>
    <t>SUMINISTRO E INSTALACIÓN DE TANQUE HIDRONEUMÁTICO</t>
  </si>
  <si>
    <t xml:space="preserve"> CORRECCIÓN HIDRÁULICA TUBERÍA DE DESCARGA SISTEMA IMPULSION T2 SÓTANO  2</t>
  </si>
  <si>
    <t>VISITA TÉCNICA REVISION, PRUEBAS Y CALIBRACIÓN DE PRESOSTATO POR REPORTE DE FALLA</t>
  </si>
  <si>
    <t>REPARACIÓN DE BOMBAS  SISTEMA DE IMPULSIÓN; Cantidad: 2; VU: 450.000</t>
  </si>
  <si>
    <t xml:space="preserve">SUMINISTRO E INSTALACIÓN DE FLOTADOR MECÁNICO SISTEMA PRESIÓN T2 y T3; Cantidad: 2; VU: 593.650  </t>
  </si>
  <si>
    <t>ALQUILER DE MOTOBOMBA DE 7.5 HP /DIA (17 DE ABRIL - 22 DE JULIO); CANT: 90; VU:$45.000</t>
  </si>
  <si>
    <t>CEDULA</t>
  </si>
  <si>
    <t xml:space="preserve">WILLIAM </t>
  </si>
  <si>
    <t xml:space="preserve">MONTAJE SISTEMA DE PRESIÓN </t>
  </si>
  <si>
    <t>INVERSIONES CAMPO ISLEÑO S.A - HOTEL CASA LAURELES</t>
  </si>
  <si>
    <t xml:space="preserve">MANTENIMIENTO CORRECTIVO MOTOBOMBA SISTEMA DE PRESIÓN   </t>
  </si>
  <si>
    <r>
      <t xml:space="preserve">MANTENIMIENTO DE PREVENTIVO DE BOMBAS  </t>
    </r>
    <r>
      <rPr>
        <b/>
        <sz val="12"/>
        <color rgb="FFFF0000"/>
        <rFont val="Arial"/>
        <family val="2"/>
      </rPr>
      <t>OC-329-001080</t>
    </r>
  </si>
  <si>
    <t>ENVIADO</t>
  </si>
  <si>
    <t>CORRECCIÓN HIDRÁULICA TUBERÍA SISTEMA DE IMPULSIÓN</t>
  </si>
  <si>
    <t>VISITA TÉCNICA DESBLOQUEO DE VALVULA FLOTADOR A MECANICA T4</t>
  </si>
  <si>
    <t>VISITA TÉCNICA REVISIÓN SISTEMA DE IMPULSIÓN</t>
  </si>
  <si>
    <t>VISITA TÉCNICA POR AUSENCIA DE SERVICIOS DE AGUA POTABLE T2</t>
  </si>
  <si>
    <t>1a. PARTE  17-08-2023</t>
  </si>
  <si>
    <t>2a. PARTE 17-08-2023</t>
  </si>
  <si>
    <t>CORRECCIÓN HIDRÁULICA TUBERÍA RCI T2</t>
  </si>
  <si>
    <t>3a. PARTE 18-08-2024</t>
  </si>
  <si>
    <t>SUMINISTRO E INSTALACIÓN DE VALVULA DESCEBADO BOMBA 1 SISTEA DE PRESIÓN</t>
  </si>
  <si>
    <t>A317</t>
  </si>
  <si>
    <t>VALVULA BOLA BRONCE 1/4"</t>
  </si>
  <si>
    <t>SUMINISTRO DE SENSOR DE NIVEL</t>
  </si>
  <si>
    <t>SUMINISTRO E INSTALACIÓN DE PRESOSTARO SISTEMA DE PRESIÓN</t>
  </si>
  <si>
    <t>CORRECCIÓN HIDRÁULICA TUBERIA DE SUCCIÓN  SISTEMA DE IMPULSIÓN Y DESCARGA GRAVEDAS T3</t>
  </si>
  <si>
    <t>SUMINISTRO E INSTALACIÓN DE BREACKER  DE POTENCIA EN SISTEMA DE IMPUÑSIÓN</t>
  </si>
  <si>
    <t>Ítem</t>
  </si>
  <si>
    <t>A311</t>
  </si>
  <si>
    <t>NIPLE A/C 2" X 20.3 CM ROSCA RANURA</t>
  </si>
  <si>
    <t>A312</t>
  </si>
  <si>
    <t>AEROSOL PINTUMIX BLANCO ANTICORROSIVO</t>
  </si>
  <si>
    <t>A313</t>
  </si>
  <si>
    <t>AEROSOL HOLD IT VERDE OLIVA</t>
  </si>
  <si>
    <t>A314</t>
  </si>
  <si>
    <t>AEROSOL CROMADO OCI</t>
  </si>
  <si>
    <t>A315</t>
  </si>
  <si>
    <t>AEROSOL PINTE NEGRO</t>
  </si>
  <si>
    <t>A316</t>
  </si>
  <si>
    <t>VALVULA 1/2" 4.7 CM  NAPOLI</t>
  </si>
  <si>
    <t>A322</t>
  </si>
  <si>
    <t>ARANDELA 3/8 1"</t>
  </si>
  <si>
    <t>A334</t>
  </si>
  <si>
    <t>SERVICIO DE RANURA</t>
  </si>
  <si>
    <t>A335</t>
  </si>
  <si>
    <t>SERVICIO ROSCA</t>
  </si>
  <si>
    <t>E046</t>
  </si>
  <si>
    <t>AMARRE DE 15CM mm DEXON</t>
  </si>
  <si>
    <t>E055</t>
  </si>
  <si>
    <t>GRAPA DOBLE ALA DE 1/2</t>
  </si>
  <si>
    <t>E073</t>
  </si>
  <si>
    <t>AMARRE DE 20CM 4,6mm DEXON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</si>
</sst>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6" formatCode="&quot;$&quot;\ #,##0;[Red]\-&quot;$&quot;\ #,##0"/>
    <numFmt numFmtId="42" formatCode="_-&quot;$&quot;\ * #,##0_-;\-&quot;$&quot;\ * #,##0_-;_-&quot;$&quot;\ * &quot;-&quot;_-;_-@_-"/>
    <numFmt numFmtId="43" formatCode="_-* #,##0.00_-;\-* #,##0.00_-;_-* &quot;-&quot;??_-;_-@_-"/>
    <numFmt numFmtId="164" formatCode="_-&quot;$&quot;* #,##0.00_-;\-&quot;$&quot;* #,##0.00_-;_-&quot;$&quot;* &quot;-&quot;??_-;_-@_-"/>
    <numFmt numFmtId="165" formatCode="_(&quot;$&quot;\ * #,##0_);_(&quot;$&quot;\ * \(#,##0\);_(&quot;$&quot;\ * &quot;-&quot;_);_(@_)"/>
    <numFmt numFmtId="166" formatCode="_(&quot;$&quot;\ * #,##0.00_);_(&quot;$&quot;\ * \(#,##0.00\);_(&quot;$&quot;\ * &quot;-&quot;??_);_(@_)"/>
    <numFmt numFmtId="167" formatCode="_(* #,##0.00_);_(* \(#,##0.00\);_(* &quot;-&quot;??_);_(@_)"/>
    <numFmt numFmtId="168" formatCode="_-* #,##0.00\ &quot;€&quot;_-;\-* #,##0.00\ &quot;€&quot;_-;_-* &quot;-&quot;??\ &quot;€&quot;_-;_-@_-"/>
    <numFmt numFmtId="169" formatCode="_ &quot;$&quot;\ * #,##0.00_ ;_ &quot;$&quot;\ * \-#,##0.00_ ;_ &quot;$&quot;\ * &quot;-&quot;??_ ;_ @_ "/>
    <numFmt numFmtId="170" formatCode="0.0"/>
    <numFmt numFmtId="171" formatCode="_(* #,##0\ &quot;pta&quot;_);_(* \(#,##0\ &quot;pta&quot;\);_(* &quot;-&quot;??\ &quot;pta&quot;_);_(@_)"/>
    <numFmt numFmtId="172" formatCode="0.000"/>
    <numFmt numFmtId="173" formatCode="&quot;$&quot;#,##0"/>
    <numFmt numFmtId="174" formatCode="_([$€]* #,##0.00_);_([$€]* \(#,##0.00\);_([$€]* &quot;-&quot;??_);_(@_)"/>
    <numFmt numFmtId="175" formatCode="&quot;$&quot;\ #,##0"/>
    <numFmt numFmtId="176" formatCode="0.0%"/>
    <numFmt numFmtId="177" formatCode="0.0000"/>
    <numFmt numFmtId="178" formatCode="&quot;Use:&quot;\ 0\ &quot;pulg&quot;"/>
    <numFmt numFmtId="179" formatCode="_-[$€-2]\ * #,##0.00_-;\-[$€-2]\ * #,##0.00_-;_-[$€-2]\ * &quot;-&quot;??_-"/>
    <numFmt numFmtId="180" formatCode="_-* #,##0.00\ _P_t_s_-;\-* #,##0.00\ _P_t_s_-;_-* &quot;-&quot;??\ _P_t_s_-;_-@_-"/>
    <numFmt numFmtId="181" formatCode="_-* #,##0.00\ &quot;Pts&quot;_-;\-* #,##0.00\ &quot;Pts&quot;_-;_-* &quot;-&quot;??\ &quot;Pts&quot;_-;_-@_-"/>
    <numFmt numFmtId="182" formatCode="_ * #,##0.00_ ;_ * \-#,##0.00_ ;_ * &quot;-&quot;??_ ;_ @_ "/>
    <numFmt numFmtId="183" formatCode="dd/mm/yyyy;@"/>
    <numFmt numFmtId="184" formatCode="0_ ;\-0\ "/>
    <numFmt numFmtId="185" formatCode="_-* #,##0_-;\-* #,##0_-;_-* &quot;-&quot;??_-;_-@_-"/>
  </numFmts>
  <fonts count="8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u/>
      <sz val="10"/>
      <color indexed="12"/>
      <name val="Arial"/>
      <family val="2"/>
    </font>
    <font>
      <sz val="12"/>
      <name val="Courier"/>
      <family val="3"/>
    </font>
    <font>
      <sz val="10"/>
      <name val="Book Antiqua"/>
      <family val="1"/>
    </font>
    <font>
      <sz val="11"/>
      <color indexed="60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7.5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color indexed="11"/>
      <name val="Calibri"/>
      <family val="2"/>
    </font>
    <font>
      <b/>
      <sz val="11"/>
      <color indexed="11"/>
      <name val="Calibri"/>
      <family val="2"/>
    </font>
    <font>
      <b/>
      <sz val="11"/>
      <color indexed="62"/>
      <name val="Calibri"/>
      <family val="2"/>
    </font>
    <font>
      <sz val="11"/>
      <color indexed="53"/>
      <name val="Calibri"/>
      <family val="2"/>
    </font>
    <font>
      <i/>
      <sz val="11"/>
      <color indexed="12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8"/>
      <color indexed="62"/>
      <name val="Cambria"/>
      <family val="2"/>
    </font>
    <font>
      <b/>
      <sz val="11"/>
      <color indexed="10"/>
      <name val="Calibri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i/>
      <sz val="9"/>
      <color theme="0"/>
      <name val="Calibri"/>
      <family val="2"/>
      <scheme val="minor"/>
    </font>
    <font>
      <b/>
      <sz val="12"/>
      <name val="Calibri"/>
      <family val="2"/>
    </font>
    <font>
      <sz val="10"/>
      <color rgb="FF000000"/>
      <name val="Times New Roman"/>
      <family val="1"/>
    </font>
    <font>
      <b/>
      <sz val="14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u/>
      <sz val="11"/>
      <color rgb="FFFF0000"/>
      <name val="Calibri"/>
      <family val="2"/>
      <scheme val="minor"/>
    </font>
    <font>
      <sz val="9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b/>
      <i/>
      <sz val="10"/>
      <color theme="0"/>
      <name val="Calibri"/>
      <family val="2"/>
      <scheme val="minor"/>
    </font>
    <font>
      <i/>
      <sz val="10"/>
      <color theme="0"/>
      <name val="Calibri"/>
      <family val="2"/>
      <scheme val="minor"/>
    </font>
    <font>
      <sz val="10"/>
      <color theme="1"/>
      <name val="Arial"/>
      <family val="2"/>
    </font>
    <font>
      <u/>
      <sz val="10"/>
      <color theme="10"/>
      <name val="Arial"/>
      <family val="2"/>
    </font>
    <font>
      <sz val="10"/>
      <name val="Times New Roman"/>
      <family val="1"/>
    </font>
    <font>
      <b/>
      <sz val="10"/>
      <color rgb="FFFFFFFF"/>
      <name val="Arial"/>
      <family val="2"/>
    </font>
    <font>
      <b/>
      <sz val="10"/>
      <name val="Calibri"/>
      <family val="2"/>
    </font>
    <font>
      <b/>
      <sz val="9"/>
      <color rgb="FFFFFFFF"/>
      <name val="Calibri"/>
      <family val="2"/>
    </font>
    <font>
      <b/>
      <sz val="9"/>
      <color rgb="FF000000"/>
      <name val="Calibri"/>
      <family val="2"/>
    </font>
    <font>
      <b/>
      <sz val="10"/>
      <color rgb="FFFF0000"/>
      <name val="Arial"/>
      <family val="2"/>
    </font>
    <font>
      <b/>
      <sz val="9"/>
      <name val="Arial"/>
      <family val="2"/>
    </font>
    <font>
      <b/>
      <sz val="11"/>
      <name val="Calibri"/>
      <family val="2"/>
    </font>
    <font>
      <b/>
      <sz val="12"/>
      <color rgb="FFFF0000"/>
      <name val="Arial"/>
      <family val="2"/>
    </font>
    <font>
      <b/>
      <sz val="11"/>
      <name val="Calibri"/>
    </font>
  </fonts>
  <fills count="5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gray0625"/>
    </fill>
    <fill>
      <patternFill patternType="solid">
        <fgColor rgb="FFFFFF9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54"/>
      </patternFill>
    </fill>
    <fill>
      <patternFill patternType="solid">
        <fgColor theme="0" tint="-4.9989318521683403E-2"/>
        <bgColor indexed="64"/>
      </patternFill>
    </fill>
    <fill>
      <patternFill patternType="gray0625">
        <bgColor theme="3" tint="-0.249977111117893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249977111117893"/>
        <bgColor indexed="2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16365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theme="9" tint="0.59999389629810485"/>
        <bgColor theme="4" tint="0.59999389629810485"/>
      </patternFill>
    </fill>
  </fills>
  <borders count="5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8"/>
      </right>
      <top/>
      <bottom style="medium">
        <color indexed="64"/>
      </bottom>
      <diagonal/>
    </border>
    <border>
      <left style="medium">
        <color indexed="8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8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8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42">
    <xf numFmtId="0" fontId="0" fillId="0" borderId="0"/>
    <xf numFmtId="0" fontId="35" fillId="0" borderId="0"/>
    <xf numFmtId="0" fontId="7" fillId="0" borderId="0"/>
    <xf numFmtId="0" fontId="7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0" applyNumberFormat="0" applyBorder="0" applyAlignment="0" applyProtection="0"/>
    <xf numFmtId="0" fontId="6" fillId="11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0" applyNumberFormat="0" applyBorder="0" applyAlignment="0" applyProtection="0"/>
    <xf numFmtId="0" fontId="6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2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9" borderId="0" applyNumberFormat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23" fillId="3" borderId="0" applyNumberFormat="0" applyBorder="0" applyAlignment="0" applyProtection="0"/>
    <xf numFmtId="0" fontId="17" fillId="4" borderId="0" applyNumberFormat="0" applyBorder="0" applyAlignment="0" applyProtection="0"/>
    <xf numFmtId="0" fontId="18" fillId="20" borderId="1" applyNumberFormat="0" applyAlignment="0" applyProtection="0"/>
    <xf numFmtId="0" fontId="18" fillId="20" borderId="1" applyNumberFormat="0" applyAlignment="0" applyProtection="0"/>
    <xf numFmtId="0" fontId="19" fillId="21" borderId="2" applyNumberFormat="0" applyAlignment="0" applyProtection="0"/>
    <xf numFmtId="0" fontId="20" fillId="0" borderId="3" applyNumberFormat="0" applyFill="0" applyAlignment="0" applyProtection="0"/>
    <xf numFmtId="0" fontId="19" fillId="21" borderId="2" applyNumberFormat="0" applyAlignment="0" applyProtection="0"/>
    <xf numFmtId="0" fontId="21" fillId="0" borderId="0" applyNumberFormat="0" applyFill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9" borderId="0" applyNumberFormat="0" applyBorder="0" applyAlignment="0" applyProtection="0"/>
    <xf numFmtId="0" fontId="22" fillId="7" borderId="1" applyNumberFormat="0" applyAlignment="0" applyProtection="0"/>
    <xf numFmtId="0" fontId="7" fillId="0" borderId="0"/>
    <xf numFmtId="174" fontId="7" fillId="0" borderId="0" applyFont="0" applyFill="0" applyBorder="0" applyAlignment="0" applyProtection="0"/>
    <xf numFmtId="172" fontId="7" fillId="0" borderId="0" applyFont="0" applyFill="0" applyBorder="0" applyAlignment="0" applyProtection="0"/>
    <xf numFmtId="179" fontId="7" fillId="0" borderId="0" applyFont="0" applyFill="0" applyBorder="0" applyAlignment="0" applyProtection="0"/>
    <xf numFmtId="179" fontId="3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28" fillId="0" borderId="4" applyNumberFormat="0" applyFill="0" applyAlignment="0" applyProtection="0"/>
    <xf numFmtId="0" fontId="29" fillId="0" borderId="5" applyNumberFormat="0" applyFill="0" applyAlignment="0" applyProtection="0"/>
    <xf numFmtId="0" fontId="21" fillId="0" borderId="6" applyNumberFormat="0" applyFill="0" applyAlignment="0" applyProtection="0"/>
    <xf numFmtId="0" fontId="21" fillId="0" borderId="0" applyNumberFormat="0" applyFill="0" applyBorder="0" applyAlignment="0" applyProtection="0"/>
    <xf numFmtId="0" fontId="30" fillId="0" borderId="0" applyNumberFormat="0" applyFill="0" applyBorder="0" applyAlignment="0" applyProtection="0">
      <alignment vertical="top"/>
      <protection locked="0"/>
    </xf>
    <xf numFmtId="0" fontId="38" fillId="0" borderId="0" applyNumberFormat="0" applyFill="0" applyBorder="0" applyAlignment="0" applyProtection="0">
      <alignment vertical="top"/>
      <protection locked="0"/>
    </xf>
    <xf numFmtId="0" fontId="23" fillId="3" borderId="0" applyNumberFormat="0" applyBorder="0" applyAlignment="0" applyProtection="0"/>
    <xf numFmtId="0" fontId="22" fillId="7" borderId="1" applyNumberFormat="0" applyAlignment="0" applyProtection="0"/>
    <xf numFmtId="0" fontId="20" fillId="0" borderId="3" applyNumberFormat="0" applyFill="0" applyAlignment="0" applyProtection="0"/>
    <xf numFmtId="0" fontId="7" fillId="0" borderId="0" applyFont="0" applyFill="0" applyBorder="0" applyAlignment="0" applyProtection="0"/>
    <xf numFmtId="177" fontId="7" fillId="0" borderId="0" applyFont="0" applyFill="0" applyBorder="0" applyAlignment="0" applyProtection="0"/>
    <xf numFmtId="0" fontId="7" fillId="0" borderId="0"/>
    <xf numFmtId="180" fontId="37" fillId="0" borderId="0" applyFont="0" applyFill="0" applyBorder="0" applyAlignment="0" applyProtection="0"/>
    <xf numFmtId="180" fontId="7" fillId="0" borderId="0" applyFont="0" applyFill="0" applyBorder="0" applyAlignment="0" applyProtection="0"/>
    <xf numFmtId="169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33" fillId="22" borderId="0" applyNumberFormat="0" applyBorder="0" applyAlignment="0" applyProtection="0"/>
    <xf numFmtId="0" fontId="7" fillId="0" borderId="0"/>
    <xf numFmtId="0" fontId="7" fillId="0" borderId="0"/>
    <xf numFmtId="165" fontId="31" fillId="0" borderId="0"/>
    <xf numFmtId="0" fontId="39" fillId="0" borderId="0"/>
    <xf numFmtId="0" fontId="8" fillId="0" borderId="0"/>
    <xf numFmtId="0" fontId="7" fillId="0" borderId="0"/>
    <xf numFmtId="0" fontId="6" fillId="0" borderId="0"/>
    <xf numFmtId="0" fontId="7" fillId="0" borderId="0"/>
    <xf numFmtId="0" fontId="7" fillId="0" borderId="0"/>
    <xf numFmtId="0" fontId="32" fillId="0" borderId="0"/>
    <xf numFmtId="0" fontId="6" fillId="0" borderId="0"/>
    <xf numFmtId="178" fontId="31" fillId="0" borderId="0"/>
    <xf numFmtId="0" fontId="7" fillId="0" borderId="0"/>
    <xf numFmtId="0" fontId="7" fillId="0" borderId="0"/>
    <xf numFmtId="172" fontId="3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23" borderId="7" applyNumberFormat="0" applyFont="0" applyAlignment="0" applyProtection="0"/>
    <xf numFmtId="0" fontId="37" fillId="23" borderId="7" applyNumberFormat="0" applyFont="0" applyAlignment="0" applyProtection="0"/>
    <xf numFmtId="0" fontId="6" fillId="23" borderId="7" applyNumberFormat="0" applyFont="0" applyAlignment="0" applyProtection="0"/>
    <xf numFmtId="0" fontId="24" fillId="20" borderId="8" applyNumberFormat="0" applyAlignment="0" applyProtection="0"/>
    <xf numFmtId="9" fontId="3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9" fillId="0" borderId="0">
      <alignment vertical="top"/>
    </xf>
    <xf numFmtId="0" fontId="24" fillId="20" borderId="8" applyNumberFormat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4" applyNumberFormat="0" applyFill="0" applyAlignment="0" applyProtection="0"/>
    <xf numFmtId="0" fontId="29" fillId="0" borderId="5" applyNumberFormat="0" applyFill="0" applyAlignment="0" applyProtection="0"/>
    <xf numFmtId="0" fontId="21" fillId="0" borderId="6" applyNumberFormat="0" applyFill="0" applyAlignment="0" applyProtection="0"/>
    <xf numFmtId="0" fontId="27" fillId="0" borderId="0" applyNumberFormat="0" applyFill="0" applyBorder="0" applyAlignment="0" applyProtection="0"/>
    <xf numFmtId="0" fontId="34" fillId="0" borderId="9" applyNumberFormat="0" applyFill="0" applyAlignment="0" applyProtection="0"/>
    <xf numFmtId="171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37" fillId="0" borderId="0"/>
    <xf numFmtId="179" fontId="37" fillId="0" borderId="0" applyFont="0" applyFill="0" applyBorder="0" applyAlignment="0" applyProtection="0"/>
    <xf numFmtId="179" fontId="7" fillId="0" borderId="0" applyFont="0" applyFill="0" applyBorder="0" applyAlignment="0" applyProtection="0"/>
    <xf numFmtId="179" fontId="7" fillId="0" borderId="0" applyFont="0" applyFill="0" applyBorder="0" applyAlignment="0" applyProtection="0"/>
    <xf numFmtId="0" fontId="40" fillId="0" borderId="0" applyNumberFormat="0" applyFill="0" applyBorder="0" applyAlignment="0" applyProtection="0">
      <alignment vertical="top"/>
      <protection locked="0"/>
    </xf>
    <xf numFmtId="0" fontId="41" fillId="0" borderId="0" applyNumberFormat="0" applyFill="0" applyBorder="0" applyAlignment="0" applyProtection="0"/>
    <xf numFmtId="0" fontId="7" fillId="0" borderId="0"/>
    <xf numFmtId="0" fontId="7" fillId="0" borderId="0"/>
    <xf numFmtId="180" fontId="7" fillId="0" borderId="0" applyFont="0" applyFill="0" applyBorder="0" applyAlignment="0" applyProtection="0"/>
    <xf numFmtId="181" fontId="37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7" fillId="0" borderId="0" applyFont="0" applyFill="0" applyBorder="0" applyAlignment="0" applyProtection="0"/>
    <xf numFmtId="169" fontId="7" fillId="0" borderId="0" applyFont="0" applyFill="0" applyBorder="0" applyAlignment="0" applyProtection="0"/>
    <xf numFmtId="0" fontId="7" fillId="0" borderId="0"/>
    <xf numFmtId="0" fontId="7" fillId="0" borderId="0"/>
    <xf numFmtId="0" fontId="5" fillId="0" borderId="0"/>
    <xf numFmtId="0" fontId="5" fillId="0" borderId="0"/>
    <xf numFmtId="0" fontId="7" fillId="23" borderId="7" applyNumberFormat="0" applyFont="0" applyAlignment="0" applyProtection="0"/>
    <xf numFmtId="9" fontId="7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37" fillId="0" borderId="0" applyFont="0" applyFill="0" applyBorder="0" applyAlignment="0" applyProtection="0"/>
    <xf numFmtId="171" fontId="37" fillId="0" borderId="0" applyFont="0" applyFill="0" applyBorder="0" applyAlignment="0" applyProtection="0"/>
    <xf numFmtId="171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82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182" fontId="7" fillId="0" borderId="0" applyFont="0" applyFill="0" applyBorder="0" applyAlignment="0" applyProtection="0"/>
    <xf numFmtId="0" fontId="4" fillId="0" borderId="0"/>
    <xf numFmtId="0" fontId="3" fillId="0" borderId="0"/>
    <xf numFmtId="0" fontId="7" fillId="0" borderId="0"/>
    <xf numFmtId="0" fontId="25" fillId="10" borderId="0" applyNumberFormat="0" applyBorder="0" applyAlignment="0" applyProtection="0"/>
    <xf numFmtId="0" fontId="25" fillId="33" borderId="0" applyNumberFormat="0" applyBorder="0" applyAlignment="0" applyProtection="0"/>
    <xf numFmtId="0" fontId="25" fillId="33" borderId="0" applyNumberFormat="0" applyBorder="0" applyAlignment="0" applyProtection="0"/>
    <xf numFmtId="0" fontId="25" fillId="10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34" borderId="0" applyNumberFormat="0" applyBorder="0" applyAlignment="0" applyProtection="0"/>
    <xf numFmtId="0" fontId="25" fillId="33" borderId="0" applyNumberFormat="0" applyBorder="0" applyAlignment="0" applyProtection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8" borderId="0" applyNumberFormat="0" applyBorder="0" applyAlignment="0" applyProtection="0"/>
    <xf numFmtId="0" fontId="25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33" borderId="0" applyNumberFormat="0" applyBorder="0" applyAlignment="0" applyProtection="0"/>
    <xf numFmtId="0" fontId="43" fillId="33" borderId="0" applyNumberFormat="0" applyBorder="0" applyAlignment="0" applyProtection="0"/>
    <xf numFmtId="0" fontId="43" fillId="34" borderId="0" applyNumberFormat="0" applyBorder="0" applyAlignment="0" applyProtection="0"/>
    <xf numFmtId="0" fontId="43" fillId="14" borderId="0" applyNumberFormat="0" applyBorder="0" applyAlignment="0" applyProtection="0"/>
    <xf numFmtId="0" fontId="43" fillId="7" borderId="0" applyNumberFormat="0" applyBorder="0" applyAlignment="0" applyProtection="0"/>
    <xf numFmtId="0" fontId="18" fillId="10" borderId="29" applyNumberFormat="0" applyAlignment="0" applyProtection="0"/>
    <xf numFmtId="0" fontId="44" fillId="21" borderId="2" applyNumberFormat="0" applyAlignment="0" applyProtection="0"/>
    <xf numFmtId="0" fontId="4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9" borderId="0" applyNumberFormat="0" applyBorder="0" applyAlignment="0" applyProtection="0"/>
    <xf numFmtId="0" fontId="43" fillId="18" borderId="0" applyNumberFormat="0" applyBorder="0" applyAlignment="0" applyProtection="0"/>
    <xf numFmtId="0" fontId="43" fillId="35" borderId="0" applyNumberFormat="0" applyBorder="0" applyAlignment="0" applyProtection="0"/>
    <xf numFmtId="0" fontId="43" fillId="14" borderId="0" applyNumberFormat="0" applyBorder="0" applyAlignment="0" applyProtection="0"/>
    <xf numFmtId="0" fontId="43" fillId="19" borderId="0" applyNumberFormat="0" applyBorder="0" applyAlignment="0" applyProtection="0"/>
    <xf numFmtId="0" fontId="22" fillId="7" borderId="29" applyNumberFormat="0" applyAlignment="0" applyProtection="0"/>
    <xf numFmtId="179" fontId="7" fillId="0" borderId="0" applyFont="0" applyFill="0" applyBorder="0" applyAlignment="0" applyProtection="0"/>
    <xf numFmtId="0" fontId="30" fillId="0" borderId="0" applyNumberFormat="0" applyFill="0" applyBorder="0" applyAlignment="0" applyProtection="0">
      <alignment vertical="top"/>
      <protection locked="0"/>
    </xf>
    <xf numFmtId="180" fontId="7" fillId="0" borderId="0" applyFont="0" applyFill="0" applyBorder="0" applyAlignment="0" applyProtection="0"/>
    <xf numFmtId="180" fontId="7" fillId="0" borderId="0" applyFont="0" applyFill="0" applyBorder="0" applyAlignment="0" applyProtection="0"/>
    <xf numFmtId="182" fontId="7" fillId="0" borderId="0" applyFont="0" applyFill="0" applyBorder="0" applyAlignment="0" applyProtection="0"/>
    <xf numFmtId="182" fontId="7" fillId="0" borderId="0" applyFont="0" applyFill="0" applyBorder="0" applyAlignment="0" applyProtection="0"/>
    <xf numFmtId="180" fontId="7" fillId="0" borderId="0" applyFont="0" applyFill="0" applyBorder="0" applyAlignment="0" applyProtection="0"/>
    <xf numFmtId="166" fontId="3" fillId="0" borderId="0" applyFont="0" applyFill="0" applyBorder="0" applyAlignment="0" applyProtection="0"/>
    <xf numFmtId="181" fontId="7" fillId="0" borderId="0" applyFont="0" applyFill="0" applyBorder="0" applyAlignment="0" applyProtection="0"/>
    <xf numFmtId="169" fontId="7" fillId="0" borderId="0" applyFont="0" applyFill="0" applyBorder="0" applyAlignment="0" applyProtection="0"/>
    <xf numFmtId="0" fontId="3" fillId="0" borderId="0"/>
    <xf numFmtId="0" fontId="3" fillId="0" borderId="0"/>
    <xf numFmtId="0" fontId="6" fillId="0" borderId="0"/>
    <xf numFmtId="0" fontId="3" fillId="0" borderId="0"/>
    <xf numFmtId="0" fontId="3" fillId="0" borderId="0"/>
    <xf numFmtId="0" fontId="3" fillId="0" borderId="0"/>
    <xf numFmtId="0" fontId="7" fillId="23" borderId="7" applyNumberFormat="0" applyFont="0" applyAlignment="0" applyProtection="0"/>
    <xf numFmtId="0" fontId="7" fillId="23" borderId="30" applyNumberFormat="0" applyFont="0" applyAlignment="0" applyProtection="0"/>
    <xf numFmtId="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24" fillId="10" borderId="8" applyNumberFormat="0" applyAlignment="0" applyProtection="0"/>
    <xf numFmtId="0" fontId="46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31" applyNumberFormat="0" applyFill="0" applyAlignment="0" applyProtection="0"/>
    <xf numFmtId="0" fontId="49" fillId="0" borderId="32" applyNumberFormat="0" applyFill="0" applyAlignment="0" applyProtection="0"/>
    <xf numFmtId="0" fontId="45" fillId="0" borderId="33" applyNumberFormat="0" applyFill="0" applyAlignment="0" applyProtection="0"/>
    <xf numFmtId="0" fontId="50" fillId="0" borderId="0" applyNumberFormat="0" applyFill="0" applyBorder="0" applyAlignment="0" applyProtection="0"/>
    <xf numFmtId="0" fontId="51" fillId="0" borderId="34" applyNumberFormat="0" applyFill="0" applyAlignment="0" applyProtection="0"/>
    <xf numFmtId="171" fontId="7" fillId="0" borderId="0" applyFont="0" applyFill="0" applyBorder="0" applyAlignment="0" applyProtection="0"/>
    <xf numFmtId="0" fontId="52" fillId="0" borderId="0" applyNumberFormat="0" applyFill="0" applyBorder="0" applyAlignment="0" applyProtection="0"/>
    <xf numFmtId="168" fontId="7" fillId="0" borderId="0" applyFont="0" applyFill="0" applyBorder="0" applyAlignment="0" applyProtection="0"/>
    <xf numFmtId="42" fontId="53" fillId="0" borderId="0" applyFont="0" applyFill="0" applyBorder="0" applyAlignment="0" applyProtection="0"/>
    <xf numFmtId="0" fontId="64" fillId="0" borderId="0"/>
    <xf numFmtId="43" fontId="69" fillId="0" borderId="0" applyFont="0" applyFill="0" applyBorder="0" applyAlignment="0" applyProtection="0"/>
    <xf numFmtId="0" fontId="2" fillId="0" borderId="0"/>
    <xf numFmtId="9" fontId="72" fillId="0" borderId="0" applyFont="0" applyFill="0" applyBorder="0" applyAlignment="0" applyProtection="0"/>
    <xf numFmtId="0" fontId="30" fillId="0" borderId="0" applyNumberFormat="0" applyFill="0" applyBorder="0" applyAlignment="0" applyProtection="0">
      <alignment vertical="top"/>
      <protection locked="0"/>
    </xf>
    <xf numFmtId="0" fontId="1" fillId="0" borderId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2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" fillId="0" borderId="0"/>
    <xf numFmtId="0" fontId="77" fillId="0" borderId="0" applyNumberFormat="0" applyFill="0" applyBorder="0" applyAlignment="0" applyProtection="0"/>
  </cellStyleXfs>
  <cellXfs count="382">
    <xf numFmtId="0" fontId="0" fillId="0" borderId="0" xfId="0"/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/>
    <xf numFmtId="0" fontId="10" fillId="0" borderId="10" xfId="0" applyFont="1" applyBorder="1" applyAlignment="1">
      <alignment horizontal="center"/>
    </xf>
    <xf numFmtId="0" fontId="0" fillId="0" borderId="10" xfId="0" applyBorder="1"/>
    <xf numFmtId="2" fontId="0" fillId="0" borderId="10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7" fillId="0" borderId="10" xfId="0" applyFont="1" applyBorder="1" applyAlignment="1">
      <alignment vertical="center"/>
    </xf>
    <xf numFmtId="0" fontId="0" fillId="0" borderId="10" xfId="0" applyBorder="1" applyAlignment="1">
      <alignment horizontal="center" vertical="center"/>
    </xf>
    <xf numFmtId="2" fontId="0" fillId="0" borderId="10" xfId="0" applyNumberFormat="1" applyBorder="1"/>
    <xf numFmtId="0" fontId="0" fillId="24" borderId="10" xfId="0" applyFill="1" applyBorder="1"/>
    <xf numFmtId="2" fontId="0" fillId="24" borderId="10" xfId="0" applyNumberFormat="1" applyFill="1" applyBorder="1" applyAlignment="1">
      <alignment horizontal="center"/>
    </xf>
    <xf numFmtId="0" fontId="0" fillId="24" borderId="10" xfId="0" applyFill="1" applyBorder="1" applyAlignment="1">
      <alignment horizontal="left"/>
    </xf>
    <xf numFmtId="0" fontId="0" fillId="0" borderId="10" xfId="0" applyBorder="1" applyAlignment="1">
      <alignment vertical="center"/>
    </xf>
    <xf numFmtId="1" fontId="0" fillId="0" borderId="10" xfId="0" applyNumberFormat="1" applyBorder="1" applyAlignment="1">
      <alignment horizontal="center"/>
    </xf>
    <xf numFmtId="0" fontId="7" fillId="25" borderId="11" xfId="0" applyFont="1" applyFill="1" applyBorder="1" applyAlignment="1">
      <alignment vertical="center"/>
    </xf>
    <xf numFmtId="2" fontId="7" fillId="25" borderId="11" xfId="0" applyNumberFormat="1" applyFont="1" applyFill="1" applyBorder="1"/>
    <xf numFmtId="2" fontId="7" fillId="25" borderId="0" xfId="0" applyNumberFormat="1" applyFont="1" applyFill="1"/>
    <xf numFmtId="0" fontId="10" fillId="25" borderId="11" xfId="0" applyFont="1" applyFill="1" applyBorder="1" applyAlignment="1">
      <alignment vertical="center"/>
    </xf>
    <xf numFmtId="2" fontId="10" fillId="25" borderId="11" xfId="0" applyNumberFormat="1" applyFont="1" applyFill="1" applyBorder="1"/>
    <xf numFmtId="2" fontId="10" fillId="25" borderId="0" xfId="0" applyNumberFormat="1" applyFont="1" applyFill="1"/>
    <xf numFmtId="1" fontId="0" fillId="0" borderId="10" xfId="0" applyNumberFormat="1" applyBorder="1" applyAlignment="1">
      <alignment horizontal="center" vertical="center"/>
    </xf>
    <xf numFmtId="0" fontId="0" fillId="0" borderId="12" xfId="0" applyBorder="1" applyAlignment="1">
      <alignment vertical="center" wrapText="1"/>
    </xf>
    <xf numFmtId="1" fontId="0" fillId="0" borderId="0" xfId="0" applyNumberFormat="1"/>
    <xf numFmtId="0" fontId="7" fillId="0" borderId="0" xfId="0" applyFont="1"/>
    <xf numFmtId="1" fontId="10" fillId="0" borderId="0" xfId="0" applyNumberFormat="1" applyFont="1"/>
    <xf numFmtId="0" fontId="7" fillId="0" borderId="10" xfId="0" applyFont="1" applyBorder="1" applyAlignment="1">
      <alignment horizontal="left"/>
    </xf>
    <xf numFmtId="0" fontId="7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left"/>
    </xf>
    <xf numFmtId="9" fontId="7" fillId="0" borderId="10" xfId="0" applyNumberFormat="1" applyFont="1" applyBorder="1" applyAlignment="1">
      <alignment horizontal="center"/>
    </xf>
    <xf numFmtId="0" fontId="0" fillId="0" borderId="13" xfId="0" applyBorder="1"/>
    <xf numFmtId="9" fontId="0" fillId="0" borderId="13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9" fontId="0" fillId="0" borderId="10" xfId="0" applyNumberFormat="1" applyBorder="1" applyAlignment="1">
      <alignment horizontal="center"/>
    </xf>
    <xf numFmtId="0" fontId="10" fillId="26" borderId="10" xfId="0" applyFont="1" applyFill="1" applyBorder="1" applyAlignment="1">
      <alignment horizontal="center"/>
    </xf>
    <xf numFmtId="0" fontId="7" fillId="26" borderId="10" xfId="0" applyFont="1" applyFill="1" applyBorder="1"/>
    <xf numFmtId="0" fontId="0" fillId="26" borderId="10" xfId="0" applyFill="1" applyBorder="1" applyAlignment="1">
      <alignment horizontal="center"/>
    </xf>
    <xf numFmtId="0" fontId="0" fillId="26" borderId="10" xfId="0" applyFill="1" applyBorder="1"/>
    <xf numFmtId="2" fontId="0" fillId="26" borderId="10" xfId="0" applyNumberFormat="1" applyFill="1" applyBorder="1" applyAlignment="1">
      <alignment horizontal="center"/>
    </xf>
    <xf numFmtId="0" fontId="7" fillId="26" borderId="10" xfId="0" applyFont="1" applyFill="1" applyBorder="1" applyAlignment="1">
      <alignment vertical="center"/>
    </xf>
    <xf numFmtId="0" fontId="0" fillId="26" borderId="10" xfId="0" applyFill="1" applyBorder="1" applyAlignment="1">
      <alignment horizontal="center" vertical="center"/>
    </xf>
    <xf numFmtId="0" fontId="0" fillId="26" borderId="10" xfId="0" applyFill="1" applyBorder="1" applyAlignment="1">
      <alignment vertical="center"/>
    </xf>
    <xf numFmtId="0" fontId="11" fillId="26" borderId="10" xfId="0" applyFont="1" applyFill="1" applyBorder="1"/>
    <xf numFmtId="1" fontId="0" fillId="26" borderId="10" xfId="0" applyNumberFormat="1" applyFill="1" applyBorder="1" applyAlignment="1">
      <alignment horizontal="center"/>
    </xf>
    <xf numFmtId="0" fontId="11" fillId="27" borderId="10" xfId="0" applyFont="1" applyFill="1" applyBorder="1"/>
    <xf numFmtId="0" fontId="0" fillId="27" borderId="10" xfId="0" applyFill="1" applyBorder="1" applyAlignment="1">
      <alignment horizontal="center"/>
    </xf>
    <xf numFmtId="0" fontId="0" fillId="27" borderId="10" xfId="0" applyFill="1" applyBorder="1"/>
    <xf numFmtId="172" fontId="0" fillId="0" borderId="10" xfId="0" applyNumberFormat="1" applyBorder="1" applyAlignment="1">
      <alignment horizontal="center"/>
    </xf>
    <xf numFmtId="0" fontId="7" fillId="0" borderId="10" xfId="0" applyFont="1" applyBorder="1" applyAlignment="1">
      <alignment horizontal="justify"/>
    </xf>
    <xf numFmtId="170" fontId="0" fillId="0" borderId="10" xfId="0" applyNumberFormat="1" applyBorder="1" applyAlignment="1">
      <alignment horizontal="center"/>
    </xf>
    <xf numFmtId="0" fontId="7" fillId="0" borderId="10" xfId="0" applyFont="1" applyBorder="1"/>
    <xf numFmtId="176" fontId="0" fillId="0" borderId="10" xfId="0" applyNumberFormat="1" applyBorder="1" applyAlignment="1">
      <alignment horizontal="center"/>
    </xf>
    <xf numFmtId="170" fontId="0" fillId="28" borderId="0" xfId="0" applyNumberFormat="1" applyFill="1"/>
    <xf numFmtId="0" fontId="54" fillId="0" borderId="0" xfId="90" applyFont="1"/>
    <xf numFmtId="0" fontId="54" fillId="0" borderId="0" xfId="0" applyFont="1"/>
    <xf numFmtId="167" fontId="54" fillId="32" borderId="11" xfId="149" applyFont="1" applyFill="1" applyBorder="1"/>
    <xf numFmtId="0" fontId="57" fillId="0" borderId="0" xfId="0" applyFont="1"/>
    <xf numFmtId="175" fontId="58" fillId="36" borderId="14" xfId="92" applyNumberFormat="1" applyFont="1" applyFill="1" applyBorder="1" applyAlignment="1">
      <alignment horizontal="right" vertical="center"/>
    </xf>
    <xf numFmtId="0" fontId="58" fillId="36" borderId="14" xfId="92" applyFont="1" applyFill="1" applyBorder="1" applyAlignment="1">
      <alignment horizontal="center" vertical="center"/>
    </xf>
    <xf numFmtId="0" fontId="60" fillId="37" borderId="16" xfId="0" applyFont="1" applyFill="1" applyBorder="1" applyAlignment="1">
      <alignment vertical="center"/>
    </xf>
    <xf numFmtId="0" fontId="60" fillId="37" borderId="27" xfId="0" applyFont="1" applyFill="1" applyBorder="1" applyAlignment="1">
      <alignment horizontal="center" vertical="center"/>
    </xf>
    <xf numFmtId="0" fontId="60" fillId="37" borderId="27" xfId="0" applyFont="1" applyFill="1" applyBorder="1" applyAlignment="1">
      <alignment vertical="center"/>
    </xf>
    <xf numFmtId="0" fontId="58" fillId="30" borderId="14" xfId="0" applyFont="1" applyFill="1" applyBorder="1" applyAlignment="1">
      <alignment horizontal="center" vertical="center"/>
    </xf>
    <xf numFmtId="0" fontId="59" fillId="37" borderId="27" xfId="0" applyFont="1" applyFill="1" applyBorder="1" applyAlignment="1">
      <alignment horizontal="center" vertical="center"/>
    </xf>
    <xf numFmtId="175" fontId="59" fillId="38" borderId="26" xfId="0" applyNumberFormat="1" applyFont="1" applyFill="1" applyBorder="1" applyAlignment="1">
      <alignment horizontal="right" vertical="center"/>
    </xf>
    <xf numFmtId="0" fontId="60" fillId="0" borderId="0" xfId="92" applyFont="1"/>
    <xf numFmtId="0" fontId="60" fillId="0" borderId="0" xfId="92" applyFont="1" applyAlignment="1">
      <alignment horizontal="center"/>
    </xf>
    <xf numFmtId="0" fontId="59" fillId="38" borderId="14" xfId="92" applyFont="1" applyFill="1" applyBorder="1" applyAlignment="1">
      <alignment horizontal="center" vertical="center"/>
    </xf>
    <xf numFmtId="0" fontId="59" fillId="38" borderId="20" xfId="92" applyFont="1" applyFill="1" applyBorder="1" applyAlignment="1">
      <alignment horizontal="centerContinuous" vertical="center"/>
    </xf>
    <xf numFmtId="0" fontId="59" fillId="38" borderId="14" xfId="92" applyFont="1" applyFill="1" applyBorder="1" applyAlignment="1">
      <alignment horizontal="center" vertical="center" wrapText="1"/>
    </xf>
    <xf numFmtId="0" fontId="59" fillId="38" borderId="17" xfId="92" applyFont="1" applyFill="1" applyBorder="1" applyAlignment="1">
      <alignment horizontal="center" vertical="center" wrapText="1"/>
    </xf>
    <xf numFmtId="0" fontId="59" fillId="38" borderId="17" xfId="92" applyFont="1" applyFill="1" applyBorder="1" applyAlignment="1">
      <alignment horizontal="centerContinuous" vertical="center"/>
    </xf>
    <xf numFmtId="0" fontId="58" fillId="36" borderId="16" xfId="92" applyFont="1" applyFill="1" applyBorder="1" applyAlignment="1">
      <alignment vertical="center"/>
    </xf>
    <xf numFmtId="0" fontId="58" fillId="36" borderId="17" xfId="92" applyFont="1" applyFill="1" applyBorder="1" applyAlignment="1">
      <alignment horizontal="center" vertical="center"/>
    </xf>
    <xf numFmtId="42" fontId="58" fillId="36" borderId="17" xfId="217" applyFont="1" applyFill="1" applyBorder="1" applyAlignment="1">
      <alignment horizontal="center" vertical="center"/>
    </xf>
    <xf numFmtId="42" fontId="58" fillId="36" borderId="14" xfId="217" applyFont="1" applyFill="1" applyBorder="1" applyAlignment="1">
      <alignment horizontal="center" vertical="center"/>
    </xf>
    <xf numFmtId="184" fontId="58" fillId="36" borderId="14" xfId="217" applyNumberFormat="1" applyFont="1" applyFill="1" applyBorder="1" applyAlignment="1">
      <alignment horizontal="center" vertical="center"/>
    </xf>
    <xf numFmtId="42" fontId="58" fillId="36" borderId="14" xfId="217" applyFont="1" applyFill="1" applyBorder="1" applyAlignment="1">
      <alignment horizontal="right" vertical="center"/>
    </xf>
    <xf numFmtId="1" fontId="58" fillId="36" borderId="14" xfId="92" applyNumberFormat="1" applyFont="1" applyFill="1" applyBorder="1" applyAlignment="1">
      <alignment horizontal="center" vertical="center"/>
    </xf>
    <xf numFmtId="0" fontId="59" fillId="37" borderId="16" xfId="92" applyFont="1" applyFill="1" applyBorder="1" applyAlignment="1">
      <alignment vertical="center"/>
    </xf>
    <xf numFmtId="0" fontId="59" fillId="37" borderId="18" xfId="92" applyFont="1" applyFill="1" applyBorder="1" applyAlignment="1">
      <alignment vertical="center"/>
    </xf>
    <xf numFmtId="0" fontId="59" fillId="37" borderId="18" xfId="92" applyFont="1" applyFill="1" applyBorder="1" applyAlignment="1">
      <alignment horizontal="center" vertical="center"/>
    </xf>
    <xf numFmtId="0" fontId="59" fillId="38" borderId="14" xfId="0" applyFont="1" applyFill="1" applyBorder="1" applyAlignment="1">
      <alignment horizontal="center" vertical="center"/>
    </xf>
    <xf numFmtId="175" fontId="59" fillId="38" borderId="26" xfId="92" applyNumberFormat="1" applyFont="1" applyFill="1" applyBorder="1" applyAlignment="1">
      <alignment horizontal="right" vertical="center"/>
    </xf>
    <xf numFmtId="0" fontId="60" fillId="0" borderId="0" xfId="0" applyFont="1"/>
    <xf numFmtId="0" fontId="60" fillId="0" borderId="0" xfId="0" applyFont="1" applyAlignment="1">
      <alignment horizontal="center"/>
    </xf>
    <xf numFmtId="0" fontId="58" fillId="36" borderId="16" xfId="0" applyFont="1" applyFill="1" applyBorder="1" applyAlignment="1">
      <alignment vertical="center"/>
    </xf>
    <xf numFmtId="0" fontId="60" fillId="36" borderId="18" xfId="0" applyFont="1" applyFill="1" applyBorder="1" applyAlignment="1">
      <alignment horizontal="center" vertical="center"/>
    </xf>
    <xf numFmtId="0" fontId="60" fillId="36" borderId="18" xfId="0" applyFont="1" applyFill="1" applyBorder="1" applyAlignment="1">
      <alignment vertical="center"/>
    </xf>
    <xf numFmtId="0" fontId="58" fillId="36" borderId="18" xfId="0" applyFont="1" applyFill="1" applyBorder="1"/>
    <xf numFmtId="0" fontId="58" fillId="36" borderId="17" xfId="0" applyFont="1" applyFill="1" applyBorder="1" applyAlignment="1">
      <alignment horizontal="center" vertical="center"/>
    </xf>
    <xf numFmtId="175" fontId="58" fillId="36" borderId="14" xfId="0" applyNumberFormat="1" applyFont="1" applyFill="1" applyBorder="1" applyAlignment="1">
      <alignment horizontal="right" vertical="center"/>
    </xf>
    <xf numFmtId="184" fontId="58" fillId="36" borderId="14" xfId="217" applyNumberFormat="1" applyFont="1" applyFill="1" applyBorder="1" applyAlignment="1">
      <alignment horizontal="right" vertical="center"/>
    </xf>
    <xf numFmtId="1" fontId="58" fillId="36" borderId="14" xfId="0" applyNumberFormat="1" applyFont="1" applyFill="1" applyBorder="1" applyAlignment="1">
      <alignment horizontal="right" vertical="center"/>
    </xf>
    <xf numFmtId="0" fontId="60" fillId="37" borderId="18" xfId="0" applyFont="1" applyFill="1" applyBorder="1" applyAlignment="1">
      <alignment horizontal="center" vertical="center"/>
    </xf>
    <xf numFmtId="0" fontId="60" fillId="37" borderId="18" xfId="0" applyFont="1" applyFill="1" applyBorder="1" applyAlignment="1">
      <alignment vertical="center"/>
    </xf>
    <xf numFmtId="0" fontId="58" fillId="37" borderId="18" xfId="0" applyFont="1" applyFill="1" applyBorder="1" applyAlignment="1">
      <alignment horizontal="center" vertical="center"/>
    </xf>
    <xf numFmtId="175" fontId="59" fillId="38" borderId="14" xfId="0" applyNumberFormat="1" applyFont="1" applyFill="1" applyBorder="1" applyAlignment="1">
      <alignment horizontal="center" vertical="center"/>
    </xf>
    <xf numFmtId="0" fontId="59" fillId="38" borderId="16" xfId="0" applyFont="1" applyFill="1" applyBorder="1" applyAlignment="1">
      <alignment horizontal="centerContinuous" vertical="center"/>
    </xf>
    <xf numFmtId="0" fontId="59" fillId="38" borderId="18" xfId="0" applyFont="1" applyFill="1" applyBorder="1" applyAlignment="1">
      <alignment horizontal="centerContinuous" vertical="center"/>
    </xf>
    <xf numFmtId="0" fontId="59" fillId="38" borderId="20" xfId="0" applyFont="1" applyFill="1" applyBorder="1" applyAlignment="1">
      <alignment horizontal="centerContinuous" vertical="center"/>
    </xf>
    <xf numFmtId="0" fontId="59" fillId="38" borderId="17" xfId="0" applyFont="1" applyFill="1" applyBorder="1" applyAlignment="1">
      <alignment horizontal="centerContinuous" vertical="center"/>
    </xf>
    <xf numFmtId="10" fontId="59" fillId="39" borderId="19" xfId="0" applyNumberFormat="1" applyFont="1" applyFill="1" applyBorder="1" applyAlignment="1">
      <alignment horizontal="center" vertical="center"/>
    </xf>
    <xf numFmtId="10" fontId="59" fillId="39" borderId="21" xfId="0" applyNumberFormat="1" applyFont="1" applyFill="1" applyBorder="1" applyAlignment="1">
      <alignment horizontal="center" vertical="center"/>
    </xf>
    <xf numFmtId="0" fontId="58" fillId="36" borderId="18" xfId="0" applyFont="1" applyFill="1" applyBorder="1" applyAlignment="1">
      <alignment horizontal="centerContinuous" vertical="center"/>
    </xf>
    <xf numFmtId="0" fontId="58" fillId="36" borderId="18" xfId="0" applyFont="1" applyFill="1" applyBorder="1" applyAlignment="1">
      <alignment horizontal="center" vertical="center"/>
    </xf>
    <xf numFmtId="0" fontId="55" fillId="37" borderId="16" xfId="0" applyFont="1" applyFill="1" applyBorder="1" applyAlignment="1">
      <alignment vertical="center"/>
    </xf>
    <xf numFmtId="0" fontId="55" fillId="37" borderId="18" xfId="0" applyFont="1" applyFill="1" applyBorder="1" applyAlignment="1">
      <alignment horizontal="center" vertical="center"/>
    </xf>
    <xf numFmtId="0" fontId="55" fillId="37" borderId="18" xfId="0" applyFont="1" applyFill="1" applyBorder="1" applyAlignment="1">
      <alignment vertical="center"/>
    </xf>
    <xf numFmtId="0" fontId="59" fillId="38" borderId="28" xfId="0" applyFont="1" applyFill="1" applyBorder="1" applyAlignment="1">
      <alignment horizontal="centerContinuous" vertical="center"/>
    </xf>
    <xf numFmtId="0" fontId="59" fillId="38" borderId="26" xfId="0" applyFont="1" applyFill="1" applyBorder="1" applyAlignment="1">
      <alignment horizontal="centerContinuous" vertical="center"/>
    </xf>
    <xf numFmtId="0" fontId="55" fillId="38" borderId="26" xfId="0" applyFont="1" applyFill="1" applyBorder="1" applyAlignment="1">
      <alignment horizontal="centerContinuous" vertical="center"/>
    </xf>
    <xf numFmtId="42" fontId="61" fillId="38" borderId="26" xfId="217" applyFont="1" applyFill="1" applyBorder="1"/>
    <xf numFmtId="0" fontId="60" fillId="0" borderId="0" xfId="0" applyFont="1" applyAlignment="1">
      <alignment vertical="center"/>
    </xf>
    <xf numFmtId="0" fontId="60" fillId="0" borderId="0" xfId="0" applyFont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58" fillId="0" borderId="0" xfId="0" applyFont="1" applyAlignment="1">
      <alignment horizontal="centerContinuous" vertical="center"/>
    </xf>
    <xf numFmtId="0" fontId="60" fillId="0" borderId="0" xfId="0" applyFont="1" applyAlignment="1">
      <alignment horizontal="centerContinuous" vertical="center"/>
    </xf>
    <xf numFmtId="0" fontId="60" fillId="29" borderId="16" xfId="0" applyFont="1" applyFill="1" applyBorder="1" applyAlignment="1">
      <alignment vertical="center"/>
    </xf>
    <xf numFmtId="0" fontId="60" fillId="29" borderId="18" xfId="0" applyFont="1" applyFill="1" applyBorder="1" applyAlignment="1">
      <alignment horizontal="center" vertical="center"/>
    </xf>
    <xf numFmtId="0" fontId="60" fillId="29" borderId="18" xfId="0" applyFont="1" applyFill="1" applyBorder="1" applyAlignment="1">
      <alignment vertical="center"/>
    </xf>
    <xf numFmtId="9" fontId="58" fillId="31" borderId="16" xfId="144" applyFont="1" applyFill="1" applyBorder="1" applyAlignment="1" applyProtection="1">
      <alignment horizontal="center" vertical="center"/>
    </xf>
    <xf numFmtId="0" fontId="59" fillId="38" borderId="11" xfId="0" applyFont="1" applyFill="1" applyBorder="1" applyAlignment="1">
      <alignment horizontal="centerContinuous" vertical="center"/>
    </xf>
    <xf numFmtId="0" fontId="55" fillId="38" borderId="11" xfId="0" applyFont="1" applyFill="1" applyBorder="1" applyAlignment="1">
      <alignment horizontal="centerContinuous" vertical="center"/>
    </xf>
    <xf numFmtId="42" fontId="57" fillId="0" borderId="0" xfId="0" applyNumberFormat="1" applyFont="1"/>
    <xf numFmtId="1" fontId="57" fillId="0" borderId="0" xfId="0" applyNumberFormat="1" applyFont="1"/>
    <xf numFmtId="173" fontId="57" fillId="0" borderId="0" xfId="0" applyNumberFormat="1" applyFont="1"/>
    <xf numFmtId="175" fontId="57" fillId="0" borderId="0" xfId="0" applyNumberFormat="1" applyFont="1"/>
    <xf numFmtId="0" fontId="57" fillId="0" borderId="0" xfId="0" applyFont="1" applyAlignment="1">
      <alignment horizontal="center"/>
    </xf>
    <xf numFmtId="0" fontId="56" fillId="38" borderId="18" xfId="0" applyFont="1" applyFill="1" applyBorder="1" applyAlignment="1">
      <alignment vertical="center"/>
    </xf>
    <xf numFmtId="3" fontId="60" fillId="0" borderId="0" xfId="0" applyNumberFormat="1" applyFont="1"/>
    <xf numFmtId="176" fontId="58" fillId="36" borderId="14" xfId="144" applyNumberFormat="1" applyFont="1" applyFill="1" applyBorder="1" applyAlignment="1" applyProtection="1">
      <alignment horizontal="center" vertical="center"/>
    </xf>
    <xf numFmtId="9" fontId="58" fillId="36" borderId="14" xfId="144" applyFont="1" applyFill="1" applyBorder="1" applyAlignment="1" applyProtection="1">
      <alignment horizontal="center" vertical="center"/>
    </xf>
    <xf numFmtId="0" fontId="58" fillId="36" borderId="14" xfId="0" applyFont="1" applyFill="1" applyBorder="1" applyAlignment="1">
      <alignment vertical="center"/>
    </xf>
    <xf numFmtId="42" fontId="58" fillId="36" borderId="14" xfId="0" applyNumberFormat="1" applyFont="1" applyFill="1" applyBorder="1" applyAlignment="1">
      <alignment vertical="center"/>
    </xf>
    <xf numFmtId="10" fontId="59" fillId="39" borderId="14" xfId="0" applyNumberFormat="1" applyFont="1" applyFill="1" applyBorder="1" applyAlignment="1">
      <alignment horizontal="center" vertical="center"/>
    </xf>
    <xf numFmtId="17" fontId="55" fillId="38" borderId="14" xfId="90" applyNumberFormat="1" applyFont="1" applyFill="1" applyBorder="1"/>
    <xf numFmtId="49" fontId="54" fillId="32" borderId="35" xfId="90" applyNumberFormat="1" applyFont="1" applyFill="1" applyBorder="1" applyAlignment="1">
      <alignment horizontal="left"/>
    </xf>
    <xf numFmtId="0" fontId="55" fillId="38" borderId="14" xfId="0" applyFont="1" applyFill="1" applyBorder="1"/>
    <xf numFmtId="183" fontId="55" fillId="38" borderId="14" xfId="0" applyNumberFormat="1" applyFont="1" applyFill="1" applyBorder="1"/>
    <xf numFmtId="49" fontId="59" fillId="38" borderId="14" xfId="90" applyNumberFormat="1" applyFont="1" applyFill="1" applyBorder="1" applyAlignment="1">
      <alignment horizontal="center" vertical="center"/>
    </xf>
    <xf numFmtId="49" fontId="59" fillId="38" borderId="16" xfId="90" applyNumberFormat="1" applyFont="1" applyFill="1" applyBorder="1" applyAlignment="1">
      <alignment horizontal="center" vertical="center"/>
    </xf>
    <xf numFmtId="167" fontId="54" fillId="32" borderId="36" xfId="149" applyFont="1" applyFill="1" applyBorder="1"/>
    <xf numFmtId="49" fontId="59" fillId="38" borderId="15" xfId="90" applyNumberFormat="1" applyFont="1" applyFill="1" applyBorder="1" applyAlignment="1">
      <alignment horizontal="center" vertical="center"/>
    </xf>
    <xf numFmtId="49" fontId="59" fillId="38" borderId="28" xfId="90" applyNumberFormat="1" applyFont="1" applyFill="1" applyBorder="1" applyAlignment="1">
      <alignment horizontal="center" vertical="center"/>
    </xf>
    <xf numFmtId="167" fontId="54" fillId="32" borderId="23" xfId="149" applyFont="1" applyFill="1" applyBorder="1"/>
    <xf numFmtId="10" fontId="59" fillId="38" borderId="14" xfId="90" applyNumberFormat="1" applyFont="1" applyFill="1" applyBorder="1" applyAlignment="1">
      <alignment horizontal="center" vertical="center"/>
    </xf>
    <xf numFmtId="0" fontId="56" fillId="38" borderId="20" xfId="0" applyFont="1" applyFill="1" applyBorder="1" applyAlignment="1">
      <alignment vertical="center"/>
    </xf>
    <xf numFmtId="0" fontId="56" fillId="38" borderId="0" xfId="0" applyFont="1" applyFill="1" applyAlignment="1">
      <alignment vertical="center"/>
    </xf>
    <xf numFmtId="0" fontId="65" fillId="38" borderId="16" xfId="0" applyFont="1" applyFill="1" applyBorder="1" applyAlignment="1">
      <alignment horizontal="center" vertical="center"/>
    </xf>
    <xf numFmtId="0" fontId="56" fillId="38" borderId="20" xfId="0" applyFont="1" applyFill="1" applyBorder="1" applyAlignment="1">
      <alignment horizontal="center" vertical="center"/>
    </xf>
    <xf numFmtId="0" fontId="59" fillId="38" borderId="38" xfId="0" applyFont="1" applyFill="1" applyBorder="1" applyAlignment="1">
      <alignment horizontal="center" vertical="center"/>
    </xf>
    <xf numFmtId="0" fontId="68" fillId="38" borderId="11" xfId="0" applyFont="1" applyFill="1" applyBorder="1" applyAlignment="1">
      <alignment horizontal="center" vertical="center"/>
    </xf>
    <xf numFmtId="0" fontId="66" fillId="0" borderId="0" xfId="0" applyFont="1"/>
    <xf numFmtId="3" fontId="63" fillId="0" borderId="0" xfId="0" applyNumberFormat="1" applyFont="1" applyAlignment="1">
      <alignment horizontal="center" vertical="center" wrapText="1"/>
    </xf>
    <xf numFmtId="2" fontId="67" fillId="42" borderId="11" xfId="0" applyNumberFormat="1" applyFont="1" applyFill="1" applyBorder="1" applyAlignment="1">
      <alignment horizontal="center"/>
    </xf>
    <xf numFmtId="49" fontId="67" fillId="42" borderId="11" xfId="0" applyNumberFormat="1" applyFont="1" applyFill="1" applyBorder="1" applyAlignment="1">
      <alignment horizontal="center"/>
    </xf>
    <xf numFmtId="3" fontId="54" fillId="0" borderId="23" xfId="0" applyNumberFormat="1" applyFont="1" applyBorder="1"/>
    <xf numFmtId="3" fontId="54" fillId="0" borderId="11" xfId="0" applyNumberFormat="1" applyFont="1" applyBorder="1"/>
    <xf numFmtId="0" fontId="66" fillId="0" borderId="0" xfId="0" applyFont="1" applyAlignment="1">
      <alignment vertical="center"/>
    </xf>
    <xf numFmtId="0" fontId="66" fillId="0" borderId="11" xfId="0" applyFont="1" applyBorder="1"/>
    <xf numFmtId="185" fontId="66" fillId="0" borderId="11" xfId="219" applyNumberFormat="1" applyFont="1" applyBorder="1" applyAlignment="1">
      <alignment horizontal="center"/>
    </xf>
    <xf numFmtId="0" fontId="66" fillId="0" borderId="11" xfId="0" applyFont="1" applyBorder="1" applyAlignment="1">
      <alignment horizontal="center"/>
    </xf>
    <xf numFmtId="185" fontId="66" fillId="0" borderId="11" xfId="0" applyNumberFormat="1" applyFont="1" applyBorder="1"/>
    <xf numFmtId="0" fontId="67" fillId="44" borderId="11" xfId="0" applyFont="1" applyFill="1" applyBorder="1"/>
    <xf numFmtId="0" fontId="67" fillId="44" borderId="11" xfId="0" applyFont="1" applyFill="1" applyBorder="1" applyAlignment="1">
      <alignment horizontal="center"/>
    </xf>
    <xf numFmtId="0" fontId="59" fillId="0" borderId="0" xfId="92" applyFont="1" applyAlignment="1">
      <alignment vertical="center"/>
    </xf>
    <xf numFmtId="0" fontId="59" fillId="0" borderId="0" xfId="92" applyFont="1" applyAlignment="1">
      <alignment horizontal="center" vertical="center"/>
    </xf>
    <xf numFmtId="0" fontId="59" fillId="0" borderId="0" xfId="0" applyFont="1" applyAlignment="1">
      <alignment horizontal="center" vertical="center"/>
    </xf>
    <xf numFmtId="175" fontId="59" fillId="0" borderId="0" xfId="92" applyNumberFormat="1" applyFont="1" applyAlignment="1">
      <alignment horizontal="right" vertical="center"/>
    </xf>
    <xf numFmtId="9" fontId="0" fillId="0" borderId="0" xfId="221" applyFont="1"/>
    <xf numFmtId="0" fontId="71" fillId="32" borderId="11" xfId="0" applyFont="1" applyFill="1" applyBorder="1"/>
    <xf numFmtId="14" fontId="7" fillId="0" borderId="0" xfId="0" applyNumberFormat="1" applyFont="1" applyAlignment="1">
      <alignment horizontal="center"/>
    </xf>
    <xf numFmtId="0" fontId="65" fillId="38" borderId="25" xfId="0" applyFont="1" applyFill="1" applyBorder="1" applyAlignment="1">
      <alignment vertical="center"/>
    </xf>
    <xf numFmtId="0" fontId="65" fillId="38" borderId="24" xfId="0" applyFont="1" applyFill="1" applyBorder="1" applyAlignment="1">
      <alignment vertical="center"/>
    </xf>
    <xf numFmtId="0" fontId="58" fillId="40" borderId="11" xfId="0" applyFont="1" applyFill="1" applyBorder="1" applyAlignment="1">
      <alignment horizontal="center" vertical="center"/>
    </xf>
    <xf numFmtId="0" fontId="10" fillId="40" borderId="24" xfId="0" applyFont="1" applyFill="1" applyBorder="1" applyAlignment="1">
      <alignment horizontal="center" vertical="center" wrapText="1"/>
    </xf>
    <xf numFmtId="183" fontId="10" fillId="43" borderId="11" xfId="0" applyNumberFormat="1" applyFont="1" applyFill="1" applyBorder="1" applyAlignment="1">
      <alignment horizontal="center" vertical="center"/>
    </xf>
    <xf numFmtId="2" fontId="7" fillId="0" borderId="0" xfId="0" applyNumberFormat="1" applyFont="1" applyAlignment="1">
      <alignment horizontal="center"/>
    </xf>
    <xf numFmtId="0" fontId="0" fillId="32" borderId="0" xfId="0" applyFill="1"/>
    <xf numFmtId="49" fontId="52" fillId="41" borderId="11" xfId="215" applyNumberFormat="1" applyFill="1" applyBorder="1"/>
    <xf numFmtId="49" fontId="52" fillId="32" borderId="11" xfId="131" applyNumberFormat="1" applyFont="1" applyFill="1" applyBorder="1"/>
    <xf numFmtId="49" fontId="41" fillId="32" borderId="11" xfId="131" applyNumberFormat="1" applyFill="1" applyBorder="1"/>
    <xf numFmtId="49" fontId="70" fillId="41" borderId="11" xfId="131" applyNumberFormat="1" applyFont="1" applyFill="1" applyBorder="1"/>
    <xf numFmtId="49" fontId="52" fillId="45" borderId="11" xfId="215" applyNumberFormat="1" applyFill="1" applyBorder="1"/>
    <xf numFmtId="49" fontId="52" fillId="32" borderId="11" xfId="215" applyNumberFormat="1" applyFill="1" applyBorder="1"/>
    <xf numFmtId="49" fontId="70" fillId="45" borderId="11" xfId="131" applyNumberFormat="1" applyFont="1" applyFill="1" applyBorder="1"/>
    <xf numFmtId="9" fontId="70" fillId="41" borderId="11" xfId="221" applyFont="1" applyFill="1" applyBorder="1"/>
    <xf numFmtId="49" fontId="52" fillId="41" borderId="11" xfId="131" applyNumberFormat="1" applyFont="1" applyFill="1" applyBorder="1"/>
    <xf numFmtId="49" fontId="52" fillId="45" borderId="11" xfId="131" applyNumberFormat="1" applyFont="1" applyFill="1" applyBorder="1"/>
    <xf numFmtId="49" fontId="41" fillId="41" borderId="11" xfId="131" applyNumberFormat="1" applyFill="1" applyBorder="1" applyAlignment="1">
      <alignment vertical="center"/>
    </xf>
    <xf numFmtId="49" fontId="41" fillId="45" borderId="11" xfId="131" applyNumberFormat="1" applyFill="1" applyBorder="1"/>
    <xf numFmtId="49" fontId="52" fillId="32" borderId="11" xfId="131" applyNumberFormat="1" applyFont="1" applyFill="1" applyBorder="1" applyAlignment="1">
      <alignment horizontal="left"/>
    </xf>
    <xf numFmtId="49" fontId="73" fillId="41" borderId="11" xfId="0" applyNumberFormat="1" applyFont="1" applyFill="1" applyBorder="1"/>
    <xf numFmtId="49" fontId="73" fillId="45" borderId="11" xfId="0" applyNumberFormat="1" applyFont="1" applyFill="1" applyBorder="1"/>
    <xf numFmtId="49" fontId="73" fillId="45" borderId="11" xfId="0" applyNumberFormat="1" applyFont="1" applyFill="1" applyBorder="1" applyAlignment="1">
      <alignment horizontal="left" vertical="center"/>
    </xf>
    <xf numFmtId="49" fontId="73" fillId="41" borderId="11" xfId="0" applyNumberFormat="1" applyFont="1" applyFill="1" applyBorder="1" applyAlignment="1">
      <alignment vertical="center"/>
    </xf>
    <xf numFmtId="49" fontId="73" fillId="45" borderId="11" xfId="0" applyNumberFormat="1" applyFont="1" applyFill="1" applyBorder="1" applyAlignment="1">
      <alignment vertical="center"/>
    </xf>
    <xf numFmtId="49" fontId="73" fillId="41" borderId="11" xfId="0" applyNumberFormat="1" applyFont="1" applyFill="1" applyBorder="1" applyAlignment="1">
      <alignment horizontal="left" vertical="center"/>
    </xf>
    <xf numFmtId="9" fontId="73" fillId="41" borderId="11" xfId="221" applyFont="1" applyFill="1" applyBorder="1" applyAlignment="1">
      <alignment horizontal="left" vertical="center"/>
    </xf>
    <xf numFmtId="0" fontId="71" fillId="0" borderId="11" xfId="0" applyFont="1" applyBorder="1"/>
    <xf numFmtId="0" fontId="7" fillId="0" borderId="11" xfId="0" applyFont="1" applyBorder="1"/>
    <xf numFmtId="0" fontId="7" fillId="0" borderId="0" xfId="0" applyFont="1" applyAlignment="1">
      <alignment horizontal="center"/>
    </xf>
    <xf numFmtId="3" fontId="7" fillId="32" borderId="11" xfId="0" applyNumberFormat="1" applyFont="1" applyFill="1" applyBorder="1" applyAlignment="1" applyProtection="1">
      <alignment horizontal="right"/>
      <protection locked="0"/>
    </xf>
    <xf numFmtId="0" fontId="0" fillId="32" borderId="11" xfId="0" applyFill="1" applyBorder="1"/>
    <xf numFmtId="49" fontId="73" fillId="41" borderId="22" xfId="0" applyNumberFormat="1" applyFont="1" applyFill="1" applyBorder="1"/>
    <xf numFmtId="49" fontId="73" fillId="41" borderId="0" xfId="0" applyNumberFormat="1" applyFont="1" applyFill="1" applyAlignment="1">
      <alignment horizontal="left" vertical="center"/>
    </xf>
    <xf numFmtId="49" fontId="52" fillId="41" borderId="23" xfId="215" applyNumberFormat="1" applyFill="1" applyBorder="1"/>
    <xf numFmtId="49" fontId="73" fillId="41" borderId="0" xfId="0" applyNumberFormat="1" applyFont="1" applyFill="1" applyAlignment="1">
      <alignment vertical="center"/>
    </xf>
    <xf numFmtId="49" fontId="41" fillId="32" borderId="43" xfId="131" applyNumberFormat="1" applyFill="1" applyBorder="1"/>
    <xf numFmtId="49" fontId="73" fillId="45" borderId="24" xfId="0" applyNumberFormat="1" applyFont="1" applyFill="1" applyBorder="1"/>
    <xf numFmtId="14" fontId="67" fillId="38" borderId="22" xfId="0" applyNumberFormat="1" applyFont="1" applyFill="1" applyBorder="1" applyAlignment="1">
      <alignment horizontal="center"/>
    </xf>
    <xf numFmtId="2" fontId="67" fillId="38" borderId="22" xfId="0" applyNumberFormat="1" applyFont="1" applyFill="1" applyBorder="1" applyAlignment="1">
      <alignment horizontal="center"/>
    </xf>
    <xf numFmtId="0" fontId="67" fillId="38" borderId="22" xfId="0" applyFont="1" applyFill="1" applyBorder="1" applyAlignment="1">
      <alignment horizontal="center"/>
    </xf>
    <xf numFmtId="1" fontId="73" fillId="41" borderId="40" xfId="0" applyNumberFormat="1" applyFont="1" applyFill="1" applyBorder="1" applyAlignment="1">
      <alignment horizontal="left"/>
    </xf>
    <xf numFmtId="49" fontId="73" fillId="45" borderId="40" xfId="0" applyNumberFormat="1" applyFont="1" applyFill="1" applyBorder="1" applyAlignment="1">
      <alignment horizontal="left" vertical="center"/>
    </xf>
    <xf numFmtId="49" fontId="52" fillId="41" borderId="40" xfId="215" applyNumberFormat="1" applyFill="1" applyBorder="1"/>
    <xf numFmtId="185" fontId="7" fillId="32" borderId="11" xfId="239" applyNumberFormat="1" applyFont="1" applyFill="1" applyBorder="1"/>
    <xf numFmtId="0" fontId="7" fillId="32" borderId="0" xfId="0" applyFont="1" applyFill="1"/>
    <xf numFmtId="0" fontId="7" fillId="32" borderId="11" xfId="0" applyFont="1" applyFill="1" applyBorder="1"/>
    <xf numFmtId="14" fontId="7" fillId="32" borderId="11" xfId="0" applyNumberFormat="1" applyFont="1" applyFill="1" applyBorder="1" applyAlignment="1">
      <alignment horizontal="center" vertical="center"/>
    </xf>
    <xf numFmtId="14" fontId="7" fillId="32" borderId="11" xfId="0" applyNumberFormat="1" applyFont="1" applyFill="1" applyBorder="1" applyAlignment="1">
      <alignment horizontal="center"/>
    </xf>
    <xf numFmtId="2" fontId="7" fillId="32" borderId="11" xfId="0" applyNumberFormat="1" applyFont="1" applyFill="1" applyBorder="1" applyAlignment="1">
      <alignment horizontal="center"/>
    </xf>
    <xf numFmtId="2" fontId="7" fillId="32" borderId="11" xfId="0" applyNumberFormat="1" applyFont="1" applyFill="1" applyBorder="1" applyAlignment="1">
      <alignment horizontal="center" vertical="center"/>
    </xf>
    <xf numFmtId="0" fontId="7" fillId="32" borderId="11" xfId="0" applyFont="1" applyFill="1" applyBorder="1" applyAlignment="1">
      <alignment horizontal="left" vertical="center"/>
    </xf>
    <xf numFmtId="49" fontId="73" fillId="41" borderId="0" xfId="0" applyNumberFormat="1" applyFont="1" applyFill="1"/>
    <xf numFmtId="0" fontId="71" fillId="0" borderId="0" xfId="0" applyFont="1"/>
    <xf numFmtId="185" fontId="7" fillId="32" borderId="0" xfId="0" applyNumberFormat="1" applyFont="1" applyFill="1"/>
    <xf numFmtId="0" fontId="52" fillId="0" borderId="11" xfId="215" applyBorder="1"/>
    <xf numFmtId="0" fontId="52" fillId="0" borderId="42" xfId="215" applyBorder="1"/>
    <xf numFmtId="49" fontId="52" fillId="41" borderId="22" xfId="215" applyNumberFormat="1" applyFill="1" applyBorder="1"/>
    <xf numFmtId="0" fontId="52" fillId="32" borderId="11" xfId="215" applyFill="1" applyBorder="1"/>
    <xf numFmtId="0" fontId="52" fillId="0" borderId="11" xfId="215" applyBorder="1" applyAlignment="1">
      <alignment vertical="center"/>
    </xf>
    <xf numFmtId="0" fontId="77" fillId="32" borderId="11" xfId="241" applyFill="1" applyBorder="1"/>
    <xf numFmtId="0" fontId="7" fillId="32" borderId="11" xfId="0" applyFont="1" applyFill="1" applyBorder="1" applyAlignment="1">
      <alignment wrapText="1"/>
    </xf>
    <xf numFmtId="0" fontId="76" fillId="32" borderId="11" xfId="0" applyFont="1" applyFill="1" applyBorder="1"/>
    <xf numFmtId="0" fontId="77" fillId="0" borderId="11" xfId="241" applyBorder="1" applyAlignment="1">
      <alignment vertical="center"/>
    </xf>
    <xf numFmtId="49" fontId="77" fillId="41" borderId="11" xfId="241" applyNumberFormat="1" applyFill="1" applyBorder="1"/>
    <xf numFmtId="0" fontId="79" fillId="44" borderId="14" xfId="0" applyFont="1" applyFill="1" applyBorder="1" applyAlignment="1">
      <alignment vertical="center"/>
    </xf>
    <xf numFmtId="0" fontId="79" fillId="44" borderId="17" xfId="0" applyFont="1" applyFill="1" applyBorder="1" applyAlignment="1">
      <alignment horizontal="center" vertical="center"/>
    </xf>
    <xf numFmtId="0" fontId="80" fillId="0" borderId="28" xfId="0" applyFont="1" applyBorder="1" applyAlignment="1">
      <alignment vertical="center"/>
    </xf>
    <xf numFmtId="0" fontId="80" fillId="0" borderId="26" xfId="0" applyFont="1" applyBorder="1" applyAlignment="1">
      <alignment horizontal="center" vertical="center"/>
    </xf>
    <xf numFmtId="0" fontId="78" fillId="0" borderId="0" xfId="0" applyFont="1"/>
    <xf numFmtId="0" fontId="81" fillId="46" borderId="14" xfId="0" applyFont="1" applyFill="1" applyBorder="1" applyAlignment="1">
      <alignment horizontal="center" vertical="center"/>
    </xf>
    <xf numFmtId="0" fontId="81" fillId="46" borderId="20" xfId="0" applyFont="1" applyFill="1" applyBorder="1" applyAlignment="1">
      <alignment horizontal="center" vertical="center"/>
    </xf>
    <xf numFmtId="0" fontId="82" fillId="47" borderId="41" xfId="0" applyFont="1" applyFill="1" applyBorder="1" applyAlignment="1">
      <alignment vertical="center"/>
    </xf>
    <xf numFmtId="0" fontId="81" fillId="46" borderId="17" xfId="0" applyFont="1" applyFill="1" applyBorder="1" applyAlignment="1">
      <alignment horizontal="center" vertical="center"/>
    </xf>
    <xf numFmtId="6" fontId="82" fillId="47" borderId="14" xfId="0" applyNumberFormat="1" applyFont="1" applyFill="1" applyBorder="1" applyAlignment="1">
      <alignment horizontal="right" vertical="center"/>
    </xf>
    <xf numFmtId="6" fontId="82" fillId="47" borderId="28" xfId="0" applyNumberFormat="1" applyFont="1" applyFill="1" applyBorder="1" applyAlignment="1">
      <alignment horizontal="right" vertical="center"/>
    </xf>
    <xf numFmtId="2" fontId="73" fillId="41" borderId="11" xfId="0" applyNumberFormat="1" applyFont="1" applyFill="1" applyBorder="1" applyAlignment="1">
      <alignment horizontal="center" vertical="center"/>
    </xf>
    <xf numFmtId="2" fontId="73" fillId="45" borderId="11" xfId="0" applyNumberFormat="1" applyFont="1" applyFill="1" applyBorder="1" applyAlignment="1">
      <alignment horizontal="center" vertical="center"/>
    </xf>
    <xf numFmtId="49" fontId="77" fillId="45" borderId="11" xfId="241" applyNumberFormat="1" applyFill="1" applyBorder="1"/>
    <xf numFmtId="49" fontId="77" fillId="32" borderId="11" xfId="241" applyNumberFormat="1" applyFill="1" applyBorder="1"/>
    <xf numFmtId="0" fontId="7" fillId="32" borderId="11" xfId="0" applyFont="1" applyFill="1" applyBorder="1" applyAlignment="1">
      <alignment horizontal="center"/>
    </xf>
    <xf numFmtId="49" fontId="77" fillId="41" borderId="11" xfId="241" applyNumberFormat="1" applyFill="1" applyBorder="1" applyAlignment="1">
      <alignment vertical="center"/>
    </xf>
    <xf numFmtId="0" fontId="83" fillId="32" borderId="0" xfId="0" applyFont="1" applyFill="1"/>
    <xf numFmtId="49" fontId="77" fillId="41" borderId="23" xfId="241" applyNumberFormat="1" applyFill="1" applyBorder="1"/>
    <xf numFmtId="0" fontId="57" fillId="32" borderId="0" xfId="0" applyFont="1" applyFill="1"/>
    <xf numFmtId="173" fontId="57" fillId="32" borderId="0" xfId="0" applyNumberFormat="1" applyFont="1" applyFill="1"/>
    <xf numFmtId="49" fontId="71" fillId="45" borderId="11" xfId="0" applyNumberFormat="1" applyFont="1" applyFill="1" applyBorder="1" applyAlignment="1">
      <alignment horizontal="left" vertical="center"/>
    </xf>
    <xf numFmtId="185" fontId="7" fillId="0" borderId="0" xfId="0" applyNumberFormat="1" applyFont="1"/>
    <xf numFmtId="0" fontId="7" fillId="48" borderId="0" xfId="0" applyFont="1" applyFill="1"/>
    <xf numFmtId="1" fontId="58" fillId="40" borderId="14" xfId="92" applyNumberFormat="1" applyFont="1" applyFill="1" applyBorder="1" applyAlignment="1">
      <alignment horizontal="center" vertical="center"/>
    </xf>
    <xf numFmtId="0" fontId="85" fillId="8" borderId="44" xfId="0" applyFont="1" applyFill="1" applyBorder="1" applyAlignment="1">
      <alignment horizontal="center" wrapText="1"/>
    </xf>
    <xf numFmtId="0" fontId="0" fillId="0" borderId="44" xfId="0" applyBorder="1"/>
    <xf numFmtId="43" fontId="58" fillId="40" borderId="14" xfId="219" applyFont="1" applyFill="1" applyBorder="1" applyAlignment="1" applyProtection="1">
      <alignment horizontal="right" vertical="center"/>
      <protection locked="0"/>
    </xf>
    <xf numFmtId="43" fontId="58" fillId="49" borderId="17" xfId="219" applyFont="1" applyFill="1" applyBorder="1" applyAlignment="1">
      <alignment vertical="center"/>
    </xf>
    <xf numFmtId="0" fontId="56" fillId="38" borderId="19" xfId="0" applyFont="1" applyFill="1" applyBorder="1" applyAlignment="1">
      <alignment vertical="center"/>
    </xf>
    <xf numFmtId="185" fontId="7" fillId="32" borderId="47" xfId="239" applyNumberFormat="1" applyFont="1" applyFill="1" applyBorder="1"/>
    <xf numFmtId="0" fontId="10" fillId="0" borderId="48" xfId="0" applyFont="1" applyBorder="1"/>
    <xf numFmtId="43" fontId="10" fillId="0" borderId="48" xfId="219" applyFont="1" applyBorder="1"/>
    <xf numFmtId="0" fontId="85" fillId="8" borderId="43" xfId="0" applyFont="1" applyFill="1" applyBorder="1" applyAlignment="1">
      <alignment horizontal="center" wrapText="1"/>
    </xf>
    <xf numFmtId="14" fontId="7" fillId="32" borderId="23" xfId="0" applyNumberFormat="1" applyFont="1" applyFill="1" applyBorder="1" applyAlignment="1">
      <alignment horizontal="center" vertical="center"/>
    </xf>
    <xf numFmtId="2" fontId="7" fillId="32" borderId="23" xfId="0" applyNumberFormat="1" applyFont="1" applyFill="1" applyBorder="1" applyAlignment="1">
      <alignment horizontal="center" vertical="center"/>
    </xf>
    <xf numFmtId="0" fontId="7" fillId="32" borderId="23" xfId="0" applyFont="1" applyFill="1" applyBorder="1" applyAlignment="1">
      <alignment horizontal="left" vertical="center"/>
    </xf>
    <xf numFmtId="14" fontId="7" fillId="32" borderId="48" xfId="0" applyNumberFormat="1" applyFont="1" applyFill="1" applyBorder="1" applyAlignment="1">
      <alignment horizontal="center"/>
    </xf>
    <xf numFmtId="2" fontId="7" fillId="32" borderId="48" xfId="0" applyNumberFormat="1" applyFont="1" applyFill="1" applyBorder="1" applyAlignment="1">
      <alignment horizontal="center"/>
    </xf>
    <xf numFmtId="0" fontId="7" fillId="32" borderId="48" xfId="0" applyFont="1" applyFill="1" applyBorder="1"/>
    <xf numFmtId="185" fontId="7" fillId="32" borderId="48" xfId="239" applyNumberFormat="1" applyFont="1" applyFill="1" applyBorder="1"/>
    <xf numFmtId="49" fontId="52" fillId="45" borderId="48" xfId="215" applyNumberFormat="1" applyFill="1" applyBorder="1"/>
    <xf numFmtId="2" fontId="7" fillId="0" borderId="48" xfId="0" applyNumberFormat="1" applyFont="1" applyBorder="1" applyAlignment="1">
      <alignment horizontal="center"/>
    </xf>
    <xf numFmtId="0" fontId="7" fillId="0" borderId="48" xfId="0" applyFont="1" applyBorder="1"/>
    <xf numFmtId="2" fontId="7" fillId="32" borderId="48" xfId="0" applyNumberFormat="1" applyFont="1" applyFill="1" applyBorder="1" applyAlignment="1">
      <alignment horizontal="center" vertical="center"/>
    </xf>
    <xf numFmtId="14" fontId="7" fillId="32" borderId="22" xfId="0" applyNumberFormat="1" applyFont="1" applyFill="1" applyBorder="1" applyAlignment="1">
      <alignment horizontal="center"/>
    </xf>
    <xf numFmtId="2" fontId="7" fillId="32" borderId="22" xfId="0" applyNumberFormat="1" applyFont="1" applyFill="1" applyBorder="1" applyAlignment="1">
      <alignment horizontal="center"/>
    </xf>
    <xf numFmtId="0" fontId="7" fillId="32" borderId="22" xfId="0" applyFont="1" applyFill="1" applyBorder="1"/>
    <xf numFmtId="185" fontId="7" fillId="32" borderId="22" xfId="239" applyNumberFormat="1" applyFont="1" applyFill="1" applyBorder="1"/>
    <xf numFmtId="0" fontId="7" fillId="32" borderId="23" xfId="0" applyFont="1" applyFill="1" applyBorder="1"/>
    <xf numFmtId="185" fontId="7" fillId="32" borderId="23" xfId="239" applyNumberFormat="1" applyFont="1" applyFill="1" applyBorder="1"/>
    <xf numFmtId="14" fontId="7" fillId="32" borderId="48" xfId="0" applyNumberFormat="1" applyFont="1" applyFill="1" applyBorder="1" applyAlignment="1">
      <alignment horizontal="center" vertical="center"/>
    </xf>
    <xf numFmtId="0" fontId="7" fillId="32" borderId="48" xfId="0" applyFont="1" applyFill="1" applyBorder="1" applyAlignment="1">
      <alignment horizontal="left" vertical="center"/>
    </xf>
    <xf numFmtId="49" fontId="73" fillId="45" borderId="22" xfId="0" applyNumberFormat="1" applyFont="1" applyFill="1" applyBorder="1" applyAlignment="1">
      <alignment horizontal="left" vertical="center"/>
    </xf>
    <xf numFmtId="2" fontId="73" fillId="41" borderId="22" xfId="0" applyNumberFormat="1" applyFont="1" applyFill="1" applyBorder="1" applyAlignment="1">
      <alignment horizontal="center" vertical="center"/>
    </xf>
    <xf numFmtId="14" fontId="7" fillId="48" borderId="11" xfId="0" applyNumberFormat="1" applyFont="1" applyFill="1" applyBorder="1" applyAlignment="1">
      <alignment horizontal="center" vertical="center"/>
    </xf>
    <xf numFmtId="2" fontId="7" fillId="48" borderId="11" xfId="0" applyNumberFormat="1" applyFont="1" applyFill="1" applyBorder="1" applyAlignment="1">
      <alignment horizontal="center" vertical="center"/>
    </xf>
    <xf numFmtId="0" fontId="7" fillId="48" borderId="11" xfId="0" applyFont="1" applyFill="1" applyBorder="1" applyAlignment="1">
      <alignment horizontal="left" vertical="center"/>
    </xf>
    <xf numFmtId="0" fontId="7" fillId="48" borderId="11" xfId="0" applyFont="1" applyFill="1" applyBorder="1"/>
    <xf numFmtId="185" fontId="7" fillId="48" borderId="11" xfId="239" applyNumberFormat="1" applyFont="1" applyFill="1" applyBorder="1"/>
    <xf numFmtId="185" fontId="7" fillId="48" borderId="47" xfId="239" applyNumberFormat="1" applyFont="1" applyFill="1" applyBorder="1"/>
    <xf numFmtId="0" fontId="7" fillId="48" borderId="11" xfId="0" applyFont="1" applyFill="1" applyBorder="1" applyAlignment="1">
      <alignment horizontal="center"/>
    </xf>
    <xf numFmtId="14" fontId="7" fillId="48" borderId="11" xfId="0" applyNumberFormat="1" applyFont="1" applyFill="1" applyBorder="1" applyAlignment="1">
      <alignment horizontal="center"/>
    </xf>
    <xf numFmtId="2" fontId="7" fillId="48" borderId="11" xfId="0" applyNumberFormat="1" applyFont="1" applyFill="1" applyBorder="1" applyAlignment="1">
      <alignment horizontal="center"/>
    </xf>
    <xf numFmtId="0" fontId="7" fillId="48" borderId="22" xfId="0" applyFont="1" applyFill="1" applyBorder="1" applyAlignment="1">
      <alignment horizontal="center"/>
    </xf>
    <xf numFmtId="185" fontId="7" fillId="32" borderId="43" xfId="239" applyNumberFormat="1" applyFont="1" applyFill="1" applyBorder="1"/>
    <xf numFmtId="0" fontId="7" fillId="48" borderId="23" xfId="0" applyFont="1" applyFill="1" applyBorder="1" applyAlignment="1">
      <alignment horizontal="center"/>
    </xf>
    <xf numFmtId="0" fontId="7" fillId="48" borderId="48" xfId="0" applyFont="1" applyFill="1" applyBorder="1" applyAlignment="1">
      <alignment horizontal="center"/>
    </xf>
    <xf numFmtId="14" fontId="7" fillId="50" borderId="11" xfId="0" applyNumberFormat="1" applyFont="1" applyFill="1" applyBorder="1" applyAlignment="1">
      <alignment horizontal="center" vertical="center"/>
    </xf>
    <xf numFmtId="2" fontId="7" fillId="50" borderId="11" xfId="0" applyNumberFormat="1" applyFont="1" applyFill="1" applyBorder="1" applyAlignment="1">
      <alignment horizontal="center" vertical="center"/>
    </xf>
    <xf numFmtId="0" fontId="7" fillId="50" borderId="11" xfId="0" applyFont="1" applyFill="1" applyBorder="1" applyAlignment="1">
      <alignment horizontal="left" vertical="center"/>
    </xf>
    <xf numFmtId="0" fontId="7" fillId="50" borderId="11" xfId="0" applyFont="1" applyFill="1" applyBorder="1"/>
    <xf numFmtId="185" fontId="7" fillId="50" borderId="11" xfId="239" applyNumberFormat="1" applyFont="1" applyFill="1" applyBorder="1"/>
    <xf numFmtId="185" fontId="7" fillId="50" borderId="47" xfId="239" applyNumberFormat="1" applyFont="1" applyFill="1" applyBorder="1"/>
    <xf numFmtId="49" fontId="73" fillId="51" borderId="11" xfId="0" applyNumberFormat="1" applyFont="1" applyFill="1" applyBorder="1" applyAlignment="1">
      <alignment horizontal="left" vertical="center"/>
    </xf>
    <xf numFmtId="14" fontId="7" fillId="50" borderId="22" xfId="0" applyNumberFormat="1" applyFont="1" applyFill="1" applyBorder="1" applyAlignment="1">
      <alignment horizontal="center" vertical="center"/>
    </xf>
    <xf numFmtId="2" fontId="7" fillId="50" borderId="22" xfId="0" applyNumberFormat="1" applyFont="1" applyFill="1" applyBorder="1" applyAlignment="1">
      <alignment horizontal="center" vertical="center"/>
    </xf>
    <xf numFmtId="0" fontId="7" fillId="50" borderId="22" xfId="0" applyFont="1" applyFill="1" applyBorder="1" applyAlignment="1">
      <alignment horizontal="left" vertical="center"/>
    </xf>
    <xf numFmtId="14" fontId="7" fillId="50" borderId="11" xfId="0" applyNumberFormat="1" applyFont="1" applyFill="1" applyBorder="1" applyAlignment="1">
      <alignment horizontal="center"/>
    </xf>
    <xf numFmtId="2" fontId="7" fillId="50" borderId="11" xfId="0" applyNumberFormat="1" applyFont="1" applyFill="1" applyBorder="1" applyAlignment="1">
      <alignment horizontal="center"/>
    </xf>
    <xf numFmtId="2" fontId="73" fillId="51" borderId="11" xfId="0" applyNumberFormat="1" applyFont="1" applyFill="1" applyBorder="1" applyAlignment="1">
      <alignment horizontal="center" vertical="center"/>
    </xf>
    <xf numFmtId="49" fontId="73" fillId="52" borderId="11" xfId="0" applyNumberFormat="1" applyFont="1" applyFill="1" applyBorder="1" applyAlignment="1">
      <alignment vertical="center"/>
    </xf>
    <xf numFmtId="0" fontId="10" fillId="0" borderId="49" xfId="0" applyFont="1" applyBorder="1"/>
    <xf numFmtId="0" fontId="87" fillId="8" borderId="49" xfId="0" applyFont="1" applyFill="1" applyBorder="1" applyAlignment="1">
      <alignment horizontal="center" wrapText="1"/>
    </xf>
    <xf numFmtId="3" fontId="87" fillId="8" borderId="49" xfId="0" applyNumberFormat="1" applyFont="1" applyFill="1" applyBorder="1" applyAlignment="1">
      <alignment horizontal="center" wrapText="1"/>
    </xf>
    <xf numFmtId="3" fontId="0" fillId="0" borderId="0" xfId="0" applyNumberFormat="1"/>
    <xf numFmtId="0" fontId="10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 wrapText="1"/>
    </xf>
    <xf numFmtId="0" fontId="58" fillId="32" borderId="16" xfId="92" applyFont="1" applyFill="1" applyBorder="1" applyAlignment="1">
      <alignment horizontal="left" vertical="center"/>
    </xf>
    <xf numFmtId="0" fontId="58" fillId="32" borderId="17" xfId="92" applyFont="1" applyFill="1" applyBorder="1" applyAlignment="1">
      <alignment horizontal="left" vertical="center"/>
    </xf>
    <xf numFmtId="2" fontId="84" fillId="32" borderId="16" xfId="92" applyNumberFormat="1" applyFont="1" applyFill="1" applyBorder="1" applyAlignment="1">
      <alignment horizontal="center" vertical="center"/>
    </xf>
    <xf numFmtId="2" fontId="84" fillId="32" borderId="17" xfId="92" applyNumberFormat="1" applyFont="1" applyFill="1" applyBorder="1" applyAlignment="1">
      <alignment horizontal="center" vertical="center"/>
    </xf>
    <xf numFmtId="0" fontId="58" fillId="40" borderId="25" xfId="0" applyFont="1" applyFill="1" applyBorder="1" applyAlignment="1">
      <alignment horizontal="left" vertical="center" wrapText="1"/>
    </xf>
    <xf numFmtId="0" fontId="58" fillId="40" borderId="39" xfId="0" applyFont="1" applyFill="1" applyBorder="1" applyAlignment="1">
      <alignment horizontal="left" vertical="center"/>
    </xf>
    <xf numFmtId="0" fontId="58" fillId="40" borderId="24" xfId="0" applyFont="1" applyFill="1" applyBorder="1" applyAlignment="1">
      <alignment horizontal="left" vertical="center"/>
    </xf>
    <xf numFmtId="0" fontId="59" fillId="38" borderId="16" xfId="0" applyFont="1" applyFill="1" applyBorder="1" applyAlignment="1">
      <alignment horizontal="center" vertical="center"/>
    </xf>
    <xf numFmtId="0" fontId="59" fillId="38" borderId="37" xfId="0" applyFont="1" applyFill="1" applyBorder="1" applyAlignment="1">
      <alignment horizontal="center" vertical="center"/>
    </xf>
    <xf numFmtId="0" fontId="59" fillId="38" borderId="45" xfId="0" applyFont="1" applyFill="1" applyBorder="1" applyAlignment="1">
      <alignment horizontal="center" vertical="center"/>
    </xf>
    <xf numFmtId="0" fontId="59" fillId="38" borderId="46" xfId="0" applyFont="1" applyFill="1" applyBorder="1" applyAlignment="1">
      <alignment horizontal="center" vertical="center"/>
    </xf>
    <xf numFmtId="0" fontId="59" fillId="38" borderId="11" xfId="0" applyFont="1" applyFill="1" applyBorder="1" applyAlignment="1">
      <alignment horizontal="center" vertical="center"/>
    </xf>
    <xf numFmtId="0" fontId="59" fillId="38" borderId="11" xfId="0" applyFont="1" applyFill="1" applyBorder="1" applyAlignment="1">
      <alignment horizontal="center"/>
    </xf>
    <xf numFmtId="42" fontId="62" fillId="38" borderId="25" xfId="0" applyNumberFormat="1" applyFont="1" applyFill="1" applyBorder="1" applyAlignment="1">
      <alignment horizontal="center"/>
    </xf>
    <xf numFmtId="42" fontId="62" fillId="38" borderId="24" xfId="0" applyNumberFormat="1" applyFont="1" applyFill="1" applyBorder="1" applyAlignment="1">
      <alignment horizontal="center"/>
    </xf>
    <xf numFmtId="0" fontId="59" fillId="38" borderId="41" xfId="0" applyFont="1" applyFill="1" applyBorder="1" applyAlignment="1">
      <alignment horizontal="center" vertical="center"/>
    </xf>
    <xf numFmtId="0" fontId="59" fillId="38" borderId="27" xfId="0" applyFont="1" applyFill="1" applyBorder="1" applyAlignment="1">
      <alignment horizontal="center" vertical="center"/>
    </xf>
    <xf numFmtId="0" fontId="59" fillId="38" borderId="18" xfId="0" applyFont="1" applyFill="1" applyBorder="1" applyAlignment="1">
      <alignment horizontal="center" vertical="center"/>
    </xf>
    <xf numFmtId="185" fontId="74" fillId="38" borderId="25" xfId="219" applyNumberFormat="1" applyFont="1" applyFill="1" applyBorder="1" applyAlignment="1">
      <alignment horizontal="right"/>
    </xf>
    <xf numFmtId="185" fontId="74" fillId="38" borderId="24" xfId="219" applyNumberFormat="1" applyFont="1" applyFill="1" applyBorder="1" applyAlignment="1">
      <alignment horizontal="right"/>
    </xf>
    <xf numFmtId="0" fontId="58" fillId="36" borderId="18" xfId="0" applyFont="1" applyFill="1" applyBorder="1" applyAlignment="1">
      <alignment horizontal="center"/>
    </xf>
    <xf numFmtId="42" fontId="74" fillId="38" borderId="25" xfId="217" applyFont="1" applyFill="1" applyBorder="1" applyAlignment="1">
      <alignment horizontal="center"/>
    </xf>
    <xf numFmtId="42" fontId="74" fillId="38" borderId="24" xfId="217" applyFont="1" applyFill="1" applyBorder="1" applyAlignment="1">
      <alignment horizontal="center"/>
    </xf>
    <xf numFmtId="42" fontId="62" fillId="38" borderId="25" xfId="0" applyNumberFormat="1" applyFont="1" applyFill="1" applyBorder="1" applyAlignment="1">
      <alignment horizontal="center" vertical="center"/>
    </xf>
    <xf numFmtId="42" fontId="62" fillId="38" borderId="24" xfId="0" applyNumberFormat="1" applyFont="1" applyFill="1" applyBorder="1" applyAlignment="1">
      <alignment horizontal="center" vertical="center"/>
    </xf>
    <xf numFmtId="0" fontId="59" fillId="38" borderId="25" xfId="0" applyFont="1" applyFill="1" applyBorder="1" applyAlignment="1">
      <alignment horizontal="center" vertical="center"/>
    </xf>
    <xf numFmtId="0" fontId="59" fillId="38" borderId="39" xfId="0" applyFont="1" applyFill="1" applyBorder="1" applyAlignment="1">
      <alignment horizontal="center" vertical="center"/>
    </xf>
    <xf numFmtId="0" fontId="59" fillId="38" borderId="24" xfId="0" applyFont="1" applyFill="1" applyBorder="1" applyAlignment="1">
      <alignment horizontal="center" vertical="center"/>
    </xf>
    <xf numFmtId="42" fontId="75" fillId="38" borderId="25" xfId="238" applyFont="1" applyFill="1" applyBorder="1" applyAlignment="1">
      <alignment horizontal="center"/>
    </xf>
    <xf numFmtId="42" fontId="75" fillId="38" borderId="24" xfId="238" applyFont="1" applyFill="1" applyBorder="1" applyAlignment="1">
      <alignment horizontal="center"/>
    </xf>
    <xf numFmtId="0" fontId="7" fillId="32" borderId="22" xfId="0" applyFont="1" applyFill="1" applyBorder="1" applyAlignment="1">
      <alignment horizontal="left" vertical="center"/>
    </xf>
    <xf numFmtId="0" fontId="7" fillId="32" borderId="23" xfId="0" applyFont="1" applyFill="1" applyBorder="1" applyAlignment="1">
      <alignment horizontal="left" vertical="center"/>
    </xf>
    <xf numFmtId="2" fontId="7" fillId="32" borderId="22" xfId="0" applyNumberFormat="1" applyFont="1" applyFill="1" applyBorder="1" applyAlignment="1">
      <alignment horizontal="center" vertical="center"/>
    </xf>
    <xf numFmtId="2" fontId="7" fillId="32" borderId="23" xfId="0" applyNumberFormat="1" applyFont="1" applyFill="1" applyBorder="1" applyAlignment="1">
      <alignment horizontal="center" vertical="center"/>
    </xf>
    <xf numFmtId="14" fontId="7" fillId="32" borderId="22" xfId="0" applyNumberFormat="1" applyFont="1" applyFill="1" applyBorder="1" applyAlignment="1">
      <alignment horizontal="center" vertical="center"/>
    </xf>
    <xf numFmtId="14" fontId="7" fillId="32" borderId="23" xfId="0" applyNumberFormat="1" applyFont="1" applyFill="1" applyBorder="1" applyAlignment="1">
      <alignment horizontal="center" vertical="center"/>
    </xf>
    <xf numFmtId="14" fontId="7" fillId="32" borderId="50" xfId="0" applyNumberFormat="1" applyFont="1" applyFill="1" applyBorder="1" applyAlignment="1">
      <alignment horizontal="center" vertical="center"/>
    </xf>
    <xf numFmtId="0" fontId="7" fillId="32" borderId="43" xfId="0" applyFont="1" applyFill="1" applyBorder="1" applyAlignment="1">
      <alignment horizontal="left" vertical="center"/>
    </xf>
    <xf numFmtId="2" fontId="7" fillId="32" borderId="43" xfId="0" applyNumberFormat="1" applyFont="1" applyFill="1" applyBorder="1" applyAlignment="1">
      <alignment horizontal="center" vertical="center"/>
    </xf>
    <xf numFmtId="14" fontId="7" fillId="32" borderId="43" xfId="0" applyNumberFormat="1" applyFont="1" applyFill="1" applyBorder="1" applyAlignment="1">
      <alignment horizontal="center" vertical="center"/>
    </xf>
    <xf numFmtId="0" fontId="7" fillId="32" borderId="50" xfId="0" applyFont="1" applyFill="1" applyBorder="1" applyAlignment="1">
      <alignment horizontal="left" vertical="center"/>
    </xf>
    <xf numFmtId="2" fontId="7" fillId="32" borderId="50" xfId="0" applyNumberFormat="1" applyFont="1" applyFill="1" applyBorder="1" applyAlignment="1">
      <alignment horizontal="center" vertical="center"/>
    </xf>
    <xf numFmtId="0" fontId="80" fillId="0" borderId="0" xfId="0" applyFont="1" applyAlignment="1">
      <alignment vertical="center"/>
    </xf>
    <xf numFmtId="0" fontId="0" fillId="48" borderId="0" xfId="0" applyFill="1"/>
    <xf numFmtId="3" fontId="0" fillId="48" borderId="0" xfId="0" applyNumberFormat="1" applyFill="1"/>
    <xf numFmtId="0" fontId="10" fillId="0" borderId="25" xfId="0" applyFont="1" applyBorder="1"/>
    <xf numFmtId="0" fontId="85" fillId="0" borderId="49" xfId="0" applyFont="1" applyBorder="1"/>
    <xf numFmtId="4" fontId="10" fillId="0" borderId="49" xfId="0" applyNumberFormat="1" applyFont="1" applyBorder="1"/>
    <xf numFmtId="4" fontId="10" fillId="0" borderId="49" xfId="219" applyNumberFormat="1" applyFont="1" applyBorder="1" applyAlignment="1">
      <alignment horizontal="right"/>
    </xf>
    <xf numFmtId="4" fontId="10" fillId="0" borderId="49" xfId="219" applyNumberFormat="1" applyFont="1" applyBorder="1"/>
    <xf numFmtId="4" fontId="10" fillId="0" borderId="49" xfId="219" applyNumberFormat="1" applyFont="1" applyFill="1" applyBorder="1"/>
    <xf numFmtId="4" fontId="10" fillId="0" borderId="48" xfId="219" applyNumberFormat="1" applyFont="1" applyBorder="1"/>
  </cellXfs>
  <cellStyles count="242">
    <cellStyle name="%" xfId="1" xr:uid="{00000000-0005-0000-0000-000000000000}"/>
    <cellStyle name="% 2" xfId="2" xr:uid="{00000000-0005-0000-0000-000001000000}"/>
    <cellStyle name="% 3" xfId="3" xr:uid="{00000000-0005-0000-0000-000002000000}"/>
    <cellStyle name="% 4" xfId="126" xr:uid="{00000000-0005-0000-0000-000003000000}"/>
    <cellStyle name="% 4 2" xfId="155" xr:uid="{00000000-0005-0000-0000-000004000000}"/>
    <cellStyle name="20% - Accent1" xfId="4" xr:uid="{00000000-0005-0000-0000-000005000000}"/>
    <cellStyle name="20% - Accent2" xfId="5" xr:uid="{00000000-0005-0000-0000-000006000000}"/>
    <cellStyle name="20% - Accent3" xfId="6" xr:uid="{00000000-0005-0000-0000-000007000000}"/>
    <cellStyle name="20% - Accent4" xfId="7" xr:uid="{00000000-0005-0000-0000-000008000000}"/>
    <cellStyle name="20% - Accent5" xfId="8" xr:uid="{00000000-0005-0000-0000-000009000000}"/>
    <cellStyle name="20% - Accent6" xfId="9" xr:uid="{00000000-0005-0000-0000-00000A000000}"/>
    <cellStyle name="20% - Énfasis1 2" xfId="10" xr:uid="{00000000-0005-0000-0000-00000B000000}"/>
    <cellStyle name="20% - Énfasis1 3" xfId="156" xr:uid="{00000000-0005-0000-0000-00000C000000}"/>
    <cellStyle name="20% - Énfasis2 2" xfId="11" xr:uid="{00000000-0005-0000-0000-00000D000000}"/>
    <cellStyle name="20% - Énfasis2 3" xfId="157" xr:uid="{00000000-0005-0000-0000-00000E000000}"/>
    <cellStyle name="20% - Énfasis3 2" xfId="12" xr:uid="{00000000-0005-0000-0000-00000F000000}"/>
    <cellStyle name="20% - Énfasis3 3" xfId="158" xr:uid="{00000000-0005-0000-0000-000010000000}"/>
    <cellStyle name="20% - Énfasis4 2" xfId="13" xr:uid="{00000000-0005-0000-0000-000011000000}"/>
    <cellStyle name="20% - Énfasis4 3" xfId="159" xr:uid="{00000000-0005-0000-0000-000012000000}"/>
    <cellStyle name="20% - Énfasis5 2" xfId="14" xr:uid="{00000000-0005-0000-0000-000013000000}"/>
    <cellStyle name="20% - Énfasis5 3" xfId="160" xr:uid="{00000000-0005-0000-0000-000014000000}"/>
    <cellStyle name="20% - Énfasis6 2" xfId="15" xr:uid="{00000000-0005-0000-0000-000015000000}"/>
    <cellStyle name="20% - Énfasis6 3" xfId="161" xr:uid="{00000000-0005-0000-0000-000016000000}"/>
    <cellStyle name="40% - Accent1" xfId="16" xr:uid="{00000000-0005-0000-0000-000017000000}"/>
    <cellStyle name="40% - Accent2" xfId="17" xr:uid="{00000000-0005-0000-0000-000018000000}"/>
    <cellStyle name="40% - Accent3" xfId="18" xr:uid="{00000000-0005-0000-0000-000019000000}"/>
    <cellStyle name="40% - Accent4" xfId="19" xr:uid="{00000000-0005-0000-0000-00001A000000}"/>
    <cellStyle name="40% - Accent5" xfId="20" xr:uid="{00000000-0005-0000-0000-00001B000000}"/>
    <cellStyle name="40% - Accent6" xfId="21" xr:uid="{00000000-0005-0000-0000-00001C000000}"/>
    <cellStyle name="40% - Énfasis1 2" xfId="22" xr:uid="{00000000-0005-0000-0000-00001D000000}"/>
    <cellStyle name="40% - Énfasis1 3" xfId="162" xr:uid="{00000000-0005-0000-0000-00001E000000}"/>
    <cellStyle name="40% - Énfasis2 2" xfId="23" xr:uid="{00000000-0005-0000-0000-00001F000000}"/>
    <cellStyle name="40% - Énfasis2 3" xfId="163" xr:uid="{00000000-0005-0000-0000-000020000000}"/>
    <cellStyle name="40% - Énfasis3 2" xfId="24" xr:uid="{00000000-0005-0000-0000-000021000000}"/>
    <cellStyle name="40% - Énfasis3 3" xfId="164" xr:uid="{00000000-0005-0000-0000-000022000000}"/>
    <cellStyle name="40% - Énfasis4 2" xfId="25" xr:uid="{00000000-0005-0000-0000-000023000000}"/>
    <cellStyle name="40% - Énfasis4 3" xfId="165" xr:uid="{00000000-0005-0000-0000-000024000000}"/>
    <cellStyle name="40% - Énfasis5 2" xfId="26" xr:uid="{00000000-0005-0000-0000-000025000000}"/>
    <cellStyle name="40% - Énfasis5 3" xfId="166" xr:uid="{00000000-0005-0000-0000-000026000000}"/>
    <cellStyle name="40% - Énfasis6 2" xfId="27" xr:uid="{00000000-0005-0000-0000-000027000000}"/>
    <cellStyle name="40% - Énfasis6 3" xfId="167" xr:uid="{00000000-0005-0000-0000-000028000000}"/>
    <cellStyle name="60% - Accent1" xfId="28" xr:uid="{00000000-0005-0000-0000-000029000000}"/>
    <cellStyle name="60% - Accent2" xfId="29" xr:uid="{00000000-0005-0000-0000-00002A000000}"/>
    <cellStyle name="60% - Accent3" xfId="30" xr:uid="{00000000-0005-0000-0000-00002B000000}"/>
    <cellStyle name="60% - Accent4" xfId="31" xr:uid="{00000000-0005-0000-0000-00002C000000}"/>
    <cellStyle name="60% - Accent5" xfId="32" xr:uid="{00000000-0005-0000-0000-00002D000000}"/>
    <cellStyle name="60% - Accent6" xfId="33" xr:uid="{00000000-0005-0000-0000-00002E000000}"/>
    <cellStyle name="60% - Énfasis1 2" xfId="34" xr:uid="{00000000-0005-0000-0000-00002F000000}"/>
    <cellStyle name="60% - Énfasis1 3" xfId="168" xr:uid="{00000000-0005-0000-0000-000030000000}"/>
    <cellStyle name="60% - Énfasis2 2" xfId="35" xr:uid="{00000000-0005-0000-0000-000031000000}"/>
    <cellStyle name="60% - Énfasis2 3" xfId="169" xr:uid="{00000000-0005-0000-0000-000032000000}"/>
    <cellStyle name="60% - Énfasis3 2" xfId="36" xr:uid="{00000000-0005-0000-0000-000033000000}"/>
    <cellStyle name="60% - Énfasis3 3" xfId="170" xr:uid="{00000000-0005-0000-0000-000034000000}"/>
    <cellStyle name="60% - Énfasis4 2" xfId="37" xr:uid="{00000000-0005-0000-0000-000035000000}"/>
    <cellStyle name="60% - Énfasis4 3" xfId="171" xr:uid="{00000000-0005-0000-0000-000036000000}"/>
    <cellStyle name="60% - Énfasis5 2" xfId="38" xr:uid="{00000000-0005-0000-0000-000037000000}"/>
    <cellStyle name="60% - Énfasis5 3" xfId="172" xr:uid="{00000000-0005-0000-0000-000038000000}"/>
    <cellStyle name="60% - Énfasis6 2" xfId="39" xr:uid="{00000000-0005-0000-0000-000039000000}"/>
    <cellStyle name="60% - Énfasis6 3" xfId="173" xr:uid="{00000000-0005-0000-0000-00003A000000}"/>
    <cellStyle name="Accent1" xfId="40" xr:uid="{00000000-0005-0000-0000-00003B000000}"/>
    <cellStyle name="Accent2" xfId="41" xr:uid="{00000000-0005-0000-0000-00003C000000}"/>
    <cellStyle name="Accent3" xfId="42" xr:uid="{00000000-0005-0000-0000-00003D000000}"/>
    <cellStyle name="Accent4" xfId="43" xr:uid="{00000000-0005-0000-0000-00003E000000}"/>
    <cellStyle name="Accent5" xfId="44" xr:uid="{00000000-0005-0000-0000-00003F000000}"/>
    <cellStyle name="Accent6" xfId="45" xr:uid="{00000000-0005-0000-0000-000040000000}"/>
    <cellStyle name="ANCLAS,REZONES Y SUS PARTES,DE FUNDICION,DE HIERRO O DE ACERO" xfId="46" xr:uid="{00000000-0005-0000-0000-000041000000}"/>
    <cellStyle name="ANCLAS,REZONES Y SUS PARTES,DE FUNDICION,DE HIERRO O DE ACERO 2" xfId="47" xr:uid="{00000000-0005-0000-0000-000042000000}"/>
    <cellStyle name="Bad" xfId="48" xr:uid="{00000000-0005-0000-0000-000043000000}"/>
    <cellStyle name="Buena 2" xfId="49" xr:uid="{00000000-0005-0000-0000-000044000000}"/>
    <cellStyle name="Calculation" xfId="50" xr:uid="{00000000-0005-0000-0000-000045000000}"/>
    <cellStyle name="Cálculo 2" xfId="51" xr:uid="{00000000-0005-0000-0000-000046000000}"/>
    <cellStyle name="Cálculo 3" xfId="174" xr:uid="{00000000-0005-0000-0000-000047000000}"/>
    <cellStyle name="Celda de comprobación 2" xfId="52" xr:uid="{00000000-0005-0000-0000-000048000000}"/>
    <cellStyle name="Celda de comprobación 3" xfId="175" xr:uid="{00000000-0005-0000-0000-000049000000}"/>
    <cellStyle name="Celda vinculada 2" xfId="53" xr:uid="{00000000-0005-0000-0000-00004A000000}"/>
    <cellStyle name="Check Cell" xfId="54" xr:uid="{00000000-0005-0000-0000-00004B000000}"/>
    <cellStyle name="Encabezado 4 2" xfId="55" xr:uid="{00000000-0005-0000-0000-00004C000000}"/>
    <cellStyle name="Encabezado 4 3" xfId="176" xr:uid="{00000000-0005-0000-0000-00004D000000}"/>
    <cellStyle name="Énfasis1 2" xfId="56" xr:uid="{00000000-0005-0000-0000-00004E000000}"/>
    <cellStyle name="Énfasis1 3" xfId="177" xr:uid="{00000000-0005-0000-0000-00004F000000}"/>
    <cellStyle name="Énfasis2 2" xfId="57" xr:uid="{00000000-0005-0000-0000-000050000000}"/>
    <cellStyle name="Énfasis2 3" xfId="178" xr:uid="{00000000-0005-0000-0000-000051000000}"/>
    <cellStyle name="Énfasis3 2" xfId="58" xr:uid="{00000000-0005-0000-0000-000052000000}"/>
    <cellStyle name="Énfasis3 3" xfId="179" xr:uid="{00000000-0005-0000-0000-000053000000}"/>
    <cellStyle name="Énfasis4 2" xfId="59" xr:uid="{00000000-0005-0000-0000-000054000000}"/>
    <cellStyle name="Énfasis4 3" xfId="180" xr:uid="{00000000-0005-0000-0000-000055000000}"/>
    <cellStyle name="Énfasis5 2" xfId="60" xr:uid="{00000000-0005-0000-0000-000056000000}"/>
    <cellStyle name="Énfasis5 3" xfId="181" xr:uid="{00000000-0005-0000-0000-000057000000}"/>
    <cellStyle name="Énfasis6 2" xfId="61" xr:uid="{00000000-0005-0000-0000-000058000000}"/>
    <cellStyle name="Énfasis6 3" xfId="182" xr:uid="{00000000-0005-0000-0000-000059000000}"/>
    <cellStyle name="Entrada 2" xfId="62" xr:uid="{00000000-0005-0000-0000-00005A000000}"/>
    <cellStyle name="Entrada 3" xfId="183" xr:uid="{00000000-0005-0000-0000-00005B000000}"/>
    <cellStyle name="Estilo 1" xfId="63" xr:uid="{00000000-0005-0000-0000-00005C000000}"/>
    <cellStyle name="Euro" xfId="64" xr:uid="{00000000-0005-0000-0000-00005D000000}"/>
    <cellStyle name="Euro 2" xfId="65" xr:uid="{00000000-0005-0000-0000-00005E000000}"/>
    <cellStyle name="Euro 2 2" xfId="128" xr:uid="{00000000-0005-0000-0000-00005F000000}"/>
    <cellStyle name="Euro 3" xfId="66" xr:uid="{00000000-0005-0000-0000-000060000000}"/>
    <cellStyle name="Euro 4" xfId="129" xr:uid="{00000000-0005-0000-0000-000061000000}"/>
    <cellStyle name="Euro 5" xfId="127" xr:uid="{00000000-0005-0000-0000-000062000000}"/>
    <cellStyle name="Euro 5 2" xfId="184" xr:uid="{00000000-0005-0000-0000-000063000000}"/>
    <cellStyle name="Euro_RESUMEN ORDENES AÑO 2009" xfId="67" xr:uid="{00000000-0005-0000-0000-000064000000}"/>
    <cellStyle name="Explanatory Text" xfId="68" xr:uid="{00000000-0005-0000-0000-000065000000}"/>
    <cellStyle name="Good" xfId="69" xr:uid="{00000000-0005-0000-0000-000066000000}"/>
    <cellStyle name="Heading 1" xfId="70" xr:uid="{00000000-0005-0000-0000-000067000000}"/>
    <cellStyle name="Heading 2" xfId="71" xr:uid="{00000000-0005-0000-0000-000068000000}"/>
    <cellStyle name="Heading 3" xfId="72" xr:uid="{00000000-0005-0000-0000-000069000000}"/>
    <cellStyle name="Heading 4" xfId="73" xr:uid="{00000000-0005-0000-0000-00006A000000}"/>
    <cellStyle name="Hipervínculo" xfId="241" builtinId="8"/>
    <cellStyle name="Hipervínculo 2" xfId="74" xr:uid="{00000000-0005-0000-0000-00006C000000}"/>
    <cellStyle name="Hipervínculo 3" xfId="75" xr:uid="{00000000-0005-0000-0000-00006D000000}"/>
    <cellStyle name="Hipervínculo 3 2" xfId="130" xr:uid="{00000000-0005-0000-0000-00006E000000}"/>
    <cellStyle name="Hipervínculo 3 3" xfId="222" xr:uid="{00000000-0005-0000-0000-00006F000000}"/>
    <cellStyle name="Hipervínculo 4" xfId="131" xr:uid="{00000000-0005-0000-0000-000070000000}"/>
    <cellStyle name="Hipervínculo 5" xfId="185" xr:uid="{00000000-0005-0000-0000-000071000000}"/>
    <cellStyle name="Hipervínculo 6" xfId="215" xr:uid="{00000000-0005-0000-0000-000072000000}"/>
    <cellStyle name="Incorrecto 2" xfId="76" xr:uid="{00000000-0005-0000-0000-000073000000}"/>
    <cellStyle name="Input" xfId="77" xr:uid="{00000000-0005-0000-0000-000074000000}"/>
    <cellStyle name="Linked Cell" xfId="78" xr:uid="{00000000-0005-0000-0000-000075000000}"/>
    <cellStyle name="Millares" xfId="219" builtinId="3"/>
    <cellStyle name="Millares 10" xfId="239" xr:uid="{00000000-0005-0000-0000-000077000000}"/>
    <cellStyle name="Millares 2" xfId="79" xr:uid="{00000000-0005-0000-0000-000078000000}"/>
    <cellStyle name="Millares 2 2" xfId="132" xr:uid="{00000000-0005-0000-0000-000079000000}"/>
    <cellStyle name="Millares 2 3" xfId="152" xr:uid="{00000000-0005-0000-0000-00007A000000}"/>
    <cellStyle name="Millares 3" xfId="80" xr:uid="{00000000-0005-0000-0000-00007B000000}"/>
    <cellStyle name="Millares 3 2" xfId="133" xr:uid="{00000000-0005-0000-0000-00007C000000}"/>
    <cellStyle name="Millares 4" xfId="81" xr:uid="{00000000-0005-0000-0000-00007D000000}"/>
    <cellStyle name="Millares 5" xfId="82" xr:uid="{00000000-0005-0000-0000-00007E000000}"/>
    <cellStyle name="Millares 5 2" xfId="187" xr:uid="{00000000-0005-0000-0000-00007F000000}"/>
    <cellStyle name="Millares 5 3" xfId="188" xr:uid="{00000000-0005-0000-0000-000080000000}"/>
    <cellStyle name="Millares 5 4" xfId="186" xr:uid="{00000000-0005-0000-0000-000081000000}"/>
    <cellStyle name="Millares 6" xfId="83" xr:uid="{00000000-0005-0000-0000-000082000000}"/>
    <cellStyle name="Millares 6 2" xfId="134" xr:uid="{00000000-0005-0000-0000-000083000000}"/>
    <cellStyle name="Millares 7" xfId="150" xr:uid="{00000000-0005-0000-0000-000084000000}"/>
    <cellStyle name="Millares 7 2" xfId="189" xr:uid="{00000000-0005-0000-0000-000085000000}"/>
    <cellStyle name="Millares 8" xfId="190" xr:uid="{00000000-0005-0000-0000-000086000000}"/>
    <cellStyle name="Millares 9" xfId="149" xr:uid="{00000000-0005-0000-0000-000087000000}"/>
    <cellStyle name="Millares 9 2" xfId="228" xr:uid="{00000000-0005-0000-0000-000088000000}"/>
    <cellStyle name="Moneda [0]" xfId="217" builtinId="7"/>
    <cellStyle name="Moneda [0] 2" xfId="238" xr:uid="{00000000-0005-0000-0000-00008A000000}"/>
    <cellStyle name="Moneda 2" xfId="84" xr:uid="{00000000-0005-0000-0000-00008B000000}"/>
    <cellStyle name="Moneda 2 2" xfId="136" xr:uid="{00000000-0005-0000-0000-00008C000000}"/>
    <cellStyle name="Moneda 2 2 2" xfId="224" xr:uid="{00000000-0005-0000-0000-00008D000000}"/>
    <cellStyle name="Moneda 2 3" xfId="191" xr:uid="{00000000-0005-0000-0000-00008E000000}"/>
    <cellStyle name="Moneda 2 3 2" xfId="231" xr:uid="{00000000-0005-0000-0000-00008F000000}"/>
    <cellStyle name="Moneda 3" xfId="85" xr:uid="{00000000-0005-0000-0000-000090000000}"/>
    <cellStyle name="Moneda 3 2" xfId="137" xr:uid="{00000000-0005-0000-0000-000091000000}"/>
    <cellStyle name="Moneda 4" xfId="138" xr:uid="{00000000-0005-0000-0000-000092000000}"/>
    <cellStyle name="Moneda 5" xfId="135" xr:uid="{00000000-0005-0000-0000-000093000000}"/>
    <cellStyle name="Moneda 5 2" xfId="192" xr:uid="{00000000-0005-0000-0000-000094000000}"/>
    <cellStyle name="Moneda 6" xfId="193" xr:uid="{00000000-0005-0000-0000-000095000000}"/>
    <cellStyle name="Moneda 7" xfId="216" xr:uid="{00000000-0005-0000-0000-000096000000}"/>
    <cellStyle name="Neutral 2" xfId="86" xr:uid="{00000000-0005-0000-0000-000097000000}"/>
    <cellStyle name="Normal" xfId="0" builtinId="0"/>
    <cellStyle name="Normal 10" xfId="87" xr:uid="{00000000-0005-0000-0000-000099000000}"/>
    <cellStyle name="Normal 11" xfId="88" xr:uid="{00000000-0005-0000-0000-00009A000000}"/>
    <cellStyle name="Normal 12" xfId="89" xr:uid="{00000000-0005-0000-0000-00009B000000}"/>
    <cellStyle name="Normal 13" xfId="90" xr:uid="{00000000-0005-0000-0000-00009C000000}"/>
    <cellStyle name="Normal 13 2" xfId="153" xr:uid="{00000000-0005-0000-0000-00009D000000}"/>
    <cellStyle name="Normal 13 2 2" xfId="229" xr:uid="{00000000-0005-0000-0000-00009E000000}"/>
    <cellStyle name="Normal 13 3" xfId="194" xr:uid="{00000000-0005-0000-0000-00009F000000}"/>
    <cellStyle name="Normal 13 3 2" xfId="232" xr:uid="{00000000-0005-0000-0000-0000A0000000}"/>
    <cellStyle name="Normal 13 4" xfId="154" xr:uid="{00000000-0005-0000-0000-0000A1000000}"/>
    <cellStyle name="Normal 13 4 2" xfId="230" xr:uid="{00000000-0005-0000-0000-0000A2000000}"/>
    <cellStyle name="Normal 13 5" xfId="223" xr:uid="{00000000-0005-0000-0000-0000A3000000}"/>
    <cellStyle name="Normal 14" xfId="218" xr:uid="{00000000-0005-0000-0000-0000A4000000}"/>
    <cellStyle name="Normal 15" xfId="220" xr:uid="{00000000-0005-0000-0000-0000A5000000}"/>
    <cellStyle name="Normal 15 2" xfId="240" xr:uid="{00000000-0005-0000-0000-0000A6000000}"/>
    <cellStyle name="Normal 2" xfId="91" xr:uid="{00000000-0005-0000-0000-0000A7000000}"/>
    <cellStyle name="Normal 2 2" xfId="92" xr:uid="{00000000-0005-0000-0000-0000A8000000}"/>
    <cellStyle name="Normal 2 3" xfId="93" xr:uid="{00000000-0005-0000-0000-0000A9000000}"/>
    <cellStyle name="Normal 2 3 2" xfId="139" xr:uid="{00000000-0005-0000-0000-0000AA000000}"/>
    <cellStyle name="Normal 2_COTIZACION DEFINITIVA AÑO 2012 ENE-27" xfId="94" xr:uid="{00000000-0005-0000-0000-0000AB000000}"/>
    <cellStyle name="Normal 3" xfId="95" xr:uid="{00000000-0005-0000-0000-0000AC000000}"/>
    <cellStyle name="Normal 3 2" xfId="96" xr:uid="{00000000-0005-0000-0000-0000AD000000}"/>
    <cellStyle name="Normal 3 2 2" xfId="140" xr:uid="{00000000-0005-0000-0000-0000AE000000}"/>
    <cellStyle name="Normal 3 2 2 2" xfId="195" xr:uid="{00000000-0005-0000-0000-0000AF000000}"/>
    <cellStyle name="Normal 3 2 2 2 2" xfId="233" xr:uid="{00000000-0005-0000-0000-0000B0000000}"/>
    <cellStyle name="Normal 3 2 3" xfId="196" xr:uid="{00000000-0005-0000-0000-0000B1000000}"/>
    <cellStyle name="Normal 3 3" xfId="141" xr:uid="{00000000-0005-0000-0000-0000B2000000}"/>
    <cellStyle name="Normal 3 3 2" xfId="197" xr:uid="{00000000-0005-0000-0000-0000B3000000}"/>
    <cellStyle name="Normal 3 3 2 2" xfId="234" xr:uid="{00000000-0005-0000-0000-0000B4000000}"/>
    <cellStyle name="Normal 3 3 3" xfId="225" xr:uid="{00000000-0005-0000-0000-0000B5000000}"/>
    <cellStyle name="Normal 3_RESUMEN ORDENES AÑO 2009" xfId="97" xr:uid="{00000000-0005-0000-0000-0000B6000000}"/>
    <cellStyle name="Normal 4" xfId="98" xr:uid="{00000000-0005-0000-0000-0000B7000000}"/>
    <cellStyle name="Normal 4 2" xfId="99" xr:uid="{00000000-0005-0000-0000-0000B8000000}"/>
    <cellStyle name="Normal 4 3" xfId="198" xr:uid="{00000000-0005-0000-0000-0000B9000000}"/>
    <cellStyle name="Normal 4 3 2" xfId="235" xr:uid="{00000000-0005-0000-0000-0000BA000000}"/>
    <cellStyle name="Normal 4_RESUMEN ORDENES AÑO 2011" xfId="100" xr:uid="{00000000-0005-0000-0000-0000BB000000}"/>
    <cellStyle name="Normal 5" xfId="101" xr:uid="{00000000-0005-0000-0000-0000BC000000}"/>
    <cellStyle name="Normal 5 2" xfId="142" xr:uid="{00000000-0005-0000-0000-0000BD000000}"/>
    <cellStyle name="Normal 5 2 2" xfId="226" xr:uid="{00000000-0005-0000-0000-0000BE000000}"/>
    <cellStyle name="Normal 5 3" xfId="199" xr:uid="{00000000-0005-0000-0000-0000BF000000}"/>
    <cellStyle name="Normal 5 3 2" xfId="236" xr:uid="{00000000-0005-0000-0000-0000C0000000}"/>
    <cellStyle name="Normal 6" xfId="102" xr:uid="{00000000-0005-0000-0000-0000C1000000}"/>
    <cellStyle name="Normal 7" xfId="103" xr:uid="{00000000-0005-0000-0000-0000C2000000}"/>
    <cellStyle name="Normal 8" xfId="104" xr:uid="{00000000-0005-0000-0000-0000C3000000}"/>
    <cellStyle name="Normal 9" xfId="105" xr:uid="{00000000-0005-0000-0000-0000C4000000}"/>
    <cellStyle name="Notas 2" xfId="106" xr:uid="{00000000-0005-0000-0000-0000C5000000}"/>
    <cellStyle name="Notas 3" xfId="107" xr:uid="{00000000-0005-0000-0000-0000C6000000}"/>
    <cellStyle name="Notas 3 2" xfId="143" xr:uid="{00000000-0005-0000-0000-0000C7000000}"/>
    <cellStyle name="Notas 4" xfId="200" xr:uid="{00000000-0005-0000-0000-0000C8000000}"/>
    <cellStyle name="Notas 4 2" xfId="201" xr:uid="{00000000-0005-0000-0000-0000C9000000}"/>
    <cellStyle name="Note" xfId="108" xr:uid="{00000000-0005-0000-0000-0000CA000000}"/>
    <cellStyle name="Output" xfId="109" xr:uid="{00000000-0005-0000-0000-0000CB000000}"/>
    <cellStyle name="Porcentaje" xfId="221" builtinId="5"/>
    <cellStyle name="Porcentaje 2" xfId="110" xr:uid="{00000000-0005-0000-0000-0000CD000000}"/>
    <cellStyle name="Porcentaje 2 2" xfId="144" xr:uid="{00000000-0005-0000-0000-0000CE000000}"/>
    <cellStyle name="Porcentaje 3" xfId="145" xr:uid="{00000000-0005-0000-0000-0000CF000000}"/>
    <cellStyle name="Porcentaje 3 2" xfId="202" xr:uid="{00000000-0005-0000-0000-0000D0000000}"/>
    <cellStyle name="Porcentaje 3 2 2" xfId="237" xr:uid="{00000000-0005-0000-0000-0000D1000000}"/>
    <cellStyle name="Porcentaje 3 3" xfId="227" xr:uid="{00000000-0005-0000-0000-0000D2000000}"/>
    <cellStyle name="Porcentaje 4" xfId="151" xr:uid="{00000000-0005-0000-0000-0000D3000000}"/>
    <cellStyle name="Porcentaje 4 2" xfId="203" xr:uid="{00000000-0005-0000-0000-0000D4000000}"/>
    <cellStyle name="Porcentual 2" xfId="111" xr:uid="{00000000-0005-0000-0000-0000D5000000}"/>
    <cellStyle name="Porcentual 2 2" xfId="146" xr:uid="{00000000-0005-0000-0000-0000D6000000}"/>
    <cellStyle name="Porcentual 2 2 2" xfId="204" xr:uid="{00000000-0005-0000-0000-0000D7000000}"/>
    <cellStyle name="Porcentual_GASTOS ACUMULADOS POR CENTROS DE COSTOS 01-05-08" xfId="205" xr:uid="{00000000-0005-0000-0000-0000D8000000}"/>
    <cellStyle name="resaltado" xfId="112" xr:uid="{00000000-0005-0000-0000-0000D9000000}"/>
    <cellStyle name="Salida 2" xfId="113" xr:uid="{00000000-0005-0000-0000-0000DA000000}"/>
    <cellStyle name="Salida 3" xfId="206" xr:uid="{00000000-0005-0000-0000-0000DB000000}"/>
    <cellStyle name="Texto de advertencia 2" xfId="114" xr:uid="{00000000-0005-0000-0000-0000DC000000}"/>
    <cellStyle name="Texto de advertencia 3" xfId="207" xr:uid="{00000000-0005-0000-0000-0000DD000000}"/>
    <cellStyle name="Texto explicativo 2" xfId="115" xr:uid="{00000000-0005-0000-0000-0000DE000000}"/>
    <cellStyle name="Texto explicativo 3" xfId="208" xr:uid="{00000000-0005-0000-0000-0000DF000000}"/>
    <cellStyle name="Title" xfId="116" xr:uid="{00000000-0005-0000-0000-0000E0000000}"/>
    <cellStyle name="Título 1 2" xfId="117" xr:uid="{00000000-0005-0000-0000-0000E1000000}"/>
    <cellStyle name="Título 1 3" xfId="209" xr:uid="{00000000-0005-0000-0000-0000E2000000}"/>
    <cellStyle name="Título 2 2" xfId="118" xr:uid="{00000000-0005-0000-0000-0000E3000000}"/>
    <cellStyle name="Título 2 3" xfId="210" xr:uid="{00000000-0005-0000-0000-0000E4000000}"/>
    <cellStyle name="Título 3 2" xfId="119" xr:uid="{00000000-0005-0000-0000-0000E5000000}"/>
    <cellStyle name="Título 3 3" xfId="211" xr:uid="{00000000-0005-0000-0000-0000E6000000}"/>
    <cellStyle name="Título 4" xfId="120" xr:uid="{00000000-0005-0000-0000-0000E7000000}"/>
    <cellStyle name="Título 5" xfId="212" xr:uid="{00000000-0005-0000-0000-0000E8000000}"/>
    <cellStyle name="Total 2" xfId="121" xr:uid="{00000000-0005-0000-0000-0000E9000000}"/>
    <cellStyle name="Total 3" xfId="213" xr:uid="{00000000-0005-0000-0000-0000EA000000}"/>
    <cellStyle name="Währung" xfId="122" xr:uid="{00000000-0005-0000-0000-0000EB000000}"/>
    <cellStyle name="Währung 2" xfId="123" xr:uid="{00000000-0005-0000-0000-0000EC000000}"/>
    <cellStyle name="Währung 3" xfId="124" xr:uid="{00000000-0005-0000-0000-0000ED000000}"/>
    <cellStyle name="Währung 4" xfId="148" xr:uid="{00000000-0005-0000-0000-0000EE000000}"/>
    <cellStyle name="Währung 5" xfId="147" xr:uid="{00000000-0005-0000-0000-0000EF000000}"/>
    <cellStyle name="Währung 5 2" xfId="214" xr:uid="{00000000-0005-0000-0000-0000F0000000}"/>
    <cellStyle name="Warning Text" xfId="125" xr:uid="{00000000-0005-0000-0000-0000F1000000}"/>
  </cellStyles>
  <dxfs count="4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FF00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84</xdr:row>
      <xdr:rowOff>9524</xdr:rowOff>
    </xdr:from>
    <xdr:to>
      <xdr:col>7</xdr:col>
      <xdr:colOff>428625</xdr:colOff>
      <xdr:row>87</xdr:row>
      <xdr:rowOff>19050</xdr:rowOff>
    </xdr:to>
    <xdr:sp macro="[0]!Hoja3.Captura_Datos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7458075" y="13954124"/>
          <a:ext cx="1295400" cy="514351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100"/>
            <a:t> </a:t>
          </a:r>
        </a:p>
        <a:p>
          <a:pPr algn="ctr"/>
          <a:r>
            <a:rPr lang="es-CO" sz="1100"/>
            <a:t>Guardar </a:t>
          </a:r>
        </a:p>
      </xdr:txBody>
    </xdr:sp>
    <xdr:clientData/>
  </xdr:twoCellAnchor>
  <xdr:twoCellAnchor editAs="oneCell">
    <xdr:from>
      <xdr:col>0</xdr:col>
      <xdr:colOff>66675</xdr:colOff>
      <xdr:row>0</xdr:row>
      <xdr:rowOff>9526</xdr:rowOff>
    </xdr:from>
    <xdr:to>
      <xdr:col>0</xdr:col>
      <xdr:colOff>876300</xdr:colOff>
      <xdr:row>1</xdr:row>
      <xdr:rowOff>125414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95D463C-45FB-66D4-A8D8-9AEEC1079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9526"/>
          <a:ext cx="809625" cy="42068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cordobaarangoasistente@gmail.com" TargetMode="External"/><Relationship Id="rId21" Type="http://schemas.openxmlformats.org/officeDocument/2006/relationships/hyperlink" Target="mailto:tesoreria@admonyasesorias.com" TargetMode="External"/><Relationship Id="rId42" Type="http://schemas.openxmlformats.org/officeDocument/2006/relationships/hyperlink" Target="mailto:gerencia.hcl@solarhoteles.com" TargetMode="External"/><Relationship Id="rId47" Type="http://schemas.openxmlformats.org/officeDocument/2006/relationships/hyperlink" Target="mailto:jorge.arango7@gmail.com" TargetMode="External"/><Relationship Id="rId63" Type="http://schemas.openxmlformats.org/officeDocument/2006/relationships/hyperlink" Target="mailto:tesoreria@admonyasesorias.com" TargetMode="External"/><Relationship Id="rId68" Type="http://schemas.openxmlformats.org/officeDocument/2006/relationships/hyperlink" Target="mailto:info@unionplaza.com.co" TargetMode="External"/><Relationship Id="rId84" Type="http://schemas.openxmlformats.org/officeDocument/2006/relationships/hyperlink" Target="mailto:cartera@docaph.com" TargetMode="External"/><Relationship Id="rId89" Type="http://schemas.openxmlformats.org/officeDocument/2006/relationships/hyperlink" Target="mailto:tesoreria@caaph.co" TargetMode="External"/><Relationship Id="rId112" Type="http://schemas.openxmlformats.org/officeDocument/2006/relationships/printerSettings" Target="../printerSettings/printerSettings3.bin"/><Relationship Id="rId16" Type="http://schemas.openxmlformats.org/officeDocument/2006/relationships/hyperlink" Target="mailto:tesoreria@admonyasesorias.com" TargetMode="External"/><Relationship Id="rId107" Type="http://schemas.openxmlformats.org/officeDocument/2006/relationships/hyperlink" Target="mailto:invelima@une.net.co" TargetMode="External"/><Relationship Id="rId11" Type="http://schemas.openxmlformats.org/officeDocument/2006/relationships/hyperlink" Target="mailto:tesoreria@admonyasesorias.com" TargetMode="External"/><Relationship Id="rId32" Type="http://schemas.openxmlformats.org/officeDocument/2006/relationships/hyperlink" Target="mailto:admon@nativomadera.com" TargetMode="External"/><Relationship Id="rId37" Type="http://schemas.openxmlformats.org/officeDocument/2006/relationships/hyperlink" Target="mailto:crlaurelen@gmail.com" TargetMode="External"/><Relationship Id="rId53" Type="http://schemas.openxmlformats.org/officeDocument/2006/relationships/hyperlink" Target="mailto:solarisapartamentosph@gmail.com" TargetMode="External"/><Relationship Id="rId58" Type="http://schemas.openxmlformats.org/officeDocument/2006/relationships/hyperlink" Target="mailto:cordobaarangoasistente@gmail.com" TargetMode="External"/><Relationship Id="rId74" Type="http://schemas.openxmlformats.org/officeDocument/2006/relationships/hyperlink" Target="mailto:edificiolasvegasph05@gmail.com" TargetMode="External"/><Relationship Id="rId79" Type="http://schemas.openxmlformats.org/officeDocument/2006/relationships/hyperlink" Target="mailto:torresdelcampoph@gmail.com" TargetMode="External"/><Relationship Id="rId102" Type="http://schemas.openxmlformats.org/officeDocument/2006/relationships/hyperlink" Target="mailto:contabilidad@thenewschool.edu.co" TargetMode="External"/><Relationship Id="rId5" Type="http://schemas.openxmlformats.org/officeDocument/2006/relationships/hyperlink" Target="mailto:conjunto_residencial.mattiz@hotmail.com" TargetMode="External"/><Relationship Id="rId90" Type="http://schemas.openxmlformats.org/officeDocument/2006/relationships/hyperlink" Target="mailto:facturacion@isc.net.co" TargetMode="External"/><Relationship Id="rId95" Type="http://schemas.openxmlformats.org/officeDocument/2006/relationships/hyperlink" Target="mailto:facturacion@administraci&#243;nmg" TargetMode="External"/><Relationship Id="rId22" Type="http://schemas.openxmlformats.org/officeDocument/2006/relationships/hyperlink" Target="mailto:reservas@hotellincoln.com.co" TargetMode="External"/><Relationship Id="rId27" Type="http://schemas.openxmlformats.org/officeDocument/2006/relationships/hyperlink" Target="mailto:cordobaarangoasistente@gmail.com" TargetMode="External"/><Relationship Id="rId43" Type="http://schemas.openxmlformats.org/officeDocument/2006/relationships/hyperlink" Target="mailto:tesoreria@admonyasesorias.com" TargetMode="External"/><Relationship Id="rId48" Type="http://schemas.openxmlformats.org/officeDocument/2006/relationships/hyperlink" Target="mailto:urbmilan9@gmail.com" TargetMode="External"/><Relationship Id="rId64" Type="http://schemas.openxmlformats.org/officeDocument/2006/relationships/hyperlink" Target="mailto:cordobaarangoasistente@gmail.com" TargetMode="External"/><Relationship Id="rId69" Type="http://schemas.openxmlformats.org/officeDocument/2006/relationships/hyperlink" Target="mailto:sancatalina@hotmail.es" TargetMode="External"/><Relationship Id="rId80" Type="http://schemas.openxmlformats.org/officeDocument/2006/relationships/hyperlink" Target="mailto:urbanizacionqtower@gmail.com" TargetMode="External"/><Relationship Id="rId85" Type="http://schemas.openxmlformats.org/officeDocument/2006/relationships/hyperlink" Target="mailto:edificiotorreondecastropol@gmail" TargetMode="External"/><Relationship Id="rId12" Type="http://schemas.openxmlformats.org/officeDocument/2006/relationships/hyperlink" Target="mailto:tesoreria@admonyasesorias.com" TargetMode="External"/><Relationship Id="rId17" Type="http://schemas.openxmlformats.org/officeDocument/2006/relationships/hyperlink" Target="mailto:tesoreria@admonyasesorias.com" TargetMode="External"/><Relationship Id="rId33" Type="http://schemas.openxmlformats.org/officeDocument/2006/relationships/hyperlink" Target="mailto:administracionph@areadiez.co" TargetMode="External"/><Relationship Id="rId38" Type="http://schemas.openxmlformats.org/officeDocument/2006/relationships/hyperlink" Target="mailto:ayuda@dixhotel.co" TargetMode="External"/><Relationship Id="rId59" Type="http://schemas.openxmlformats.org/officeDocument/2006/relationships/hyperlink" Target="mailto:tesoreria@admonyasesorias.com" TargetMode="External"/><Relationship Id="rId103" Type="http://schemas.openxmlformats.org/officeDocument/2006/relationships/hyperlink" Target="mailto:urbanizacionforestaph@gmail.com" TargetMode="External"/><Relationship Id="rId108" Type="http://schemas.openxmlformats.org/officeDocument/2006/relationships/hyperlink" Target="mailto:facturacion@isc.net.co" TargetMode="External"/><Relationship Id="rId54" Type="http://schemas.openxmlformats.org/officeDocument/2006/relationships/hyperlink" Target="mailto:contabilidadsquare@mts.com.co" TargetMode="External"/><Relationship Id="rId70" Type="http://schemas.openxmlformats.org/officeDocument/2006/relationships/hyperlink" Target="mailto:tesoreria@admonyasesorias.com" TargetMode="External"/><Relationship Id="rId75" Type="http://schemas.openxmlformats.org/officeDocument/2006/relationships/hyperlink" Target="mailto:edificiobotsuana@gmail.com" TargetMode="External"/><Relationship Id="rId91" Type="http://schemas.openxmlformats.org/officeDocument/2006/relationships/hyperlink" Target="mailto:facturacion@grupoclever.co" TargetMode="External"/><Relationship Id="rId96" Type="http://schemas.openxmlformats.org/officeDocument/2006/relationships/hyperlink" Target="mailto:admonbosquesdesauces@gmail.com" TargetMode="External"/><Relationship Id="rId1" Type="http://schemas.openxmlformats.org/officeDocument/2006/relationships/hyperlink" Target="mailto:jorge.arango7@gmail.com" TargetMode="External"/><Relationship Id="rId6" Type="http://schemas.openxmlformats.org/officeDocument/2006/relationships/hyperlink" Target="mailto:administracionph@areadiez.co" TargetMode="External"/><Relationship Id="rId15" Type="http://schemas.openxmlformats.org/officeDocument/2006/relationships/hyperlink" Target="mailto:tesoreria@admonyasesorias.com" TargetMode="External"/><Relationship Id="rId23" Type="http://schemas.openxmlformats.org/officeDocument/2006/relationships/hyperlink" Target="mailto:airesdevigiadelfuerte@gmail.com" TargetMode="External"/><Relationship Id="rId28" Type="http://schemas.openxmlformats.org/officeDocument/2006/relationships/hyperlink" Target="mailto:provinciadetoscana@gmail.com" TargetMode="External"/><Relationship Id="rId36" Type="http://schemas.openxmlformats.org/officeDocument/2006/relationships/hyperlink" Target="mailto:torrescagliaph@gmail.com" TargetMode="External"/><Relationship Id="rId49" Type="http://schemas.openxmlformats.org/officeDocument/2006/relationships/hyperlink" Target="mailto:tesoreria@admonyasesorias.com" TargetMode="External"/><Relationship Id="rId57" Type="http://schemas.openxmlformats.org/officeDocument/2006/relationships/hyperlink" Target="mailto:cordobaarangoasistente@gmail.com" TargetMode="External"/><Relationship Id="rId106" Type="http://schemas.openxmlformats.org/officeDocument/2006/relationships/hyperlink" Target="mailto:proveedores@mts.com.co" TargetMode="External"/><Relationship Id="rId10" Type="http://schemas.openxmlformats.org/officeDocument/2006/relationships/hyperlink" Target="mailto:tesoreria@admonyasesorias.com" TargetMode="External"/><Relationship Id="rId31" Type="http://schemas.openxmlformats.org/officeDocument/2006/relationships/hyperlink" Target="mailto:contabilidadoneplaza@mts.com.co" TargetMode="External"/><Relationship Id="rId44" Type="http://schemas.openxmlformats.org/officeDocument/2006/relationships/hyperlink" Target="mailto:tesoreria@admonyasesorias.com" TargetMode="External"/><Relationship Id="rId52" Type="http://schemas.openxmlformats.org/officeDocument/2006/relationships/hyperlink" Target="mailto:tesoreria@admonyasesorias.com" TargetMode="External"/><Relationship Id="rId60" Type="http://schemas.openxmlformats.org/officeDocument/2006/relationships/hyperlink" Target="mailto:tesoreria@admonyasesorias.com" TargetMode="External"/><Relationship Id="rId65" Type="http://schemas.openxmlformats.org/officeDocument/2006/relationships/hyperlink" Target="mailto:tesoreria@admonyasesorias.com" TargetMode="External"/><Relationship Id="rId73" Type="http://schemas.openxmlformats.org/officeDocument/2006/relationships/hyperlink" Target="mailto:vilanova2849@gmail.com" TargetMode="External"/><Relationship Id="rId78" Type="http://schemas.openxmlformats.org/officeDocument/2006/relationships/hyperlink" Target="mailto:tierragratadelesmeraldal@gmail.com" TargetMode="External"/><Relationship Id="rId81" Type="http://schemas.openxmlformats.org/officeDocument/2006/relationships/hyperlink" Target="mailto:tesoreria@admonyasesorias.com" TargetMode="External"/><Relationship Id="rId86" Type="http://schemas.openxmlformats.org/officeDocument/2006/relationships/hyperlink" Target="mailto:urbanizacionlaquinta.ph@gmail.com" TargetMode="External"/><Relationship Id="rId94" Type="http://schemas.openxmlformats.org/officeDocument/2006/relationships/hyperlink" Target="mailto:facturas@viasyexplanaciones.com.co" TargetMode="External"/><Relationship Id="rId99" Type="http://schemas.openxmlformats.org/officeDocument/2006/relationships/hyperlink" Target="mailto:ibizaloftph@gmail.com" TargetMode="External"/><Relationship Id="rId101" Type="http://schemas.openxmlformats.org/officeDocument/2006/relationships/hyperlink" Target="mailto:Admonjardinesdelsurph@gmail.com" TargetMode="External"/><Relationship Id="rId4" Type="http://schemas.openxmlformats.org/officeDocument/2006/relationships/hyperlink" Target="mailto:edificiomarat@yahoo.com" TargetMode="External"/><Relationship Id="rId9" Type="http://schemas.openxmlformats.org/officeDocument/2006/relationships/hyperlink" Target="mailto:tesoreria@admonyasesorias.com" TargetMode="External"/><Relationship Id="rId13" Type="http://schemas.openxmlformats.org/officeDocument/2006/relationships/hyperlink" Target="mailto:tesoreria@admonyasesorias.com" TargetMode="External"/><Relationship Id="rId18" Type="http://schemas.openxmlformats.org/officeDocument/2006/relationships/hyperlink" Target="mailto:tesoreria@admonyasesorias.com" TargetMode="External"/><Relationship Id="rId39" Type="http://schemas.openxmlformats.org/officeDocument/2006/relationships/hyperlink" Target="mailto:aguilarantonio248@gmail.com" TargetMode="External"/><Relationship Id="rId109" Type="http://schemas.openxmlformats.org/officeDocument/2006/relationships/hyperlink" Target="mailto:caja@unidadesurbanas.com" TargetMode="External"/><Relationship Id="rId34" Type="http://schemas.openxmlformats.org/officeDocument/2006/relationships/hyperlink" Target="mailto:fidelenapark@gmail.com" TargetMode="External"/><Relationship Id="rId50" Type="http://schemas.openxmlformats.org/officeDocument/2006/relationships/hyperlink" Target="mailto:tesoreria@admonyasesorias.com" TargetMode="External"/><Relationship Id="rId55" Type="http://schemas.openxmlformats.org/officeDocument/2006/relationships/hyperlink" Target="mailto:contabilidad@ansired.com" TargetMode="External"/><Relationship Id="rId76" Type="http://schemas.openxmlformats.org/officeDocument/2006/relationships/hyperlink" Target="mailto:mariaisabelcadavids@gmail.com" TargetMode="External"/><Relationship Id="rId97" Type="http://schemas.openxmlformats.org/officeDocument/2006/relationships/hyperlink" Target="mailto:torrelituaniaph@gmail.com" TargetMode="External"/><Relationship Id="rId104" Type="http://schemas.openxmlformats.org/officeDocument/2006/relationships/hyperlink" Target="mailto:urbanizacionforestaph@gmail.com" TargetMode="External"/><Relationship Id="rId7" Type="http://schemas.openxmlformats.org/officeDocument/2006/relationships/hyperlink" Target="mailto:tesoreria@admonyasesorias.com" TargetMode="External"/><Relationship Id="rId71" Type="http://schemas.openxmlformats.org/officeDocument/2006/relationships/hyperlink" Target="mailto:cordobaarangoasistente@gmail.com" TargetMode="External"/><Relationship Id="rId92" Type="http://schemas.openxmlformats.org/officeDocument/2006/relationships/hyperlink" Target="mailto:gerenciaquality@mts.com.co" TargetMode="External"/><Relationship Id="rId2" Type="http://schemas.openxmlformats.org/officeDocument/2006/relationships/hyperlink" Target="mailto:cordobaarangoasistente@gmail.com" TargetMode="External"/><Relationship Id="rId29" Type="http://schemas.openxmlformats.org/officeDocument/2006/relationships/hyperlink" Target="mailto:admin@conjuntosaltamonte.com" TargetMode="External"/><Relationship Id="rId24" Type="http://schemas.openxmlformats.org/officeDocument/2006/relationships/hyperlink" Target="mailto:cordobaarangoasistente@gmail.com" TargetMode="External"/><Relationship Id="rId40" Type="http://schemas.openxmlformats.org/officeDocument/2006/relationships/hyperlink" Target="mailto:recepcion@ccbenv.edu.co" TargetMode="External"/><Relationship Id="rId45" Type="http://schemas.openxmlformats.org/officeDocument/2006/relationships/hyperlink" Target="mailto:tesoreria@admonyasesorias.com" TargetMode="External"/><Relationship Id="rId66" Type="http://schemas.openxmlformats.org/officeDocument/2006/relationships/hyperlink" Target="mailto:unidadespuertomontt@gmail.com" TargetMode="External"/><Relationship Id="rId87" Type="http://schemas.openxmlformats.org/officeDocument/2006/relationships/hyperlink" Target="mailto:dublinpropiedadhorizontal@gmail.com" TargetMode="External"/><Relationship Id="rId110" Type="http://schemas.openxmlformats.org/officeDocument/2006/relationships/hyperlink" Target="mailto:comprascrismart@gmail.com" TargetMode="External"/><Relationship Id="rId61" Type="http://schemas.openxmlformats.org/officeDocument/2006/relationships/hyperlink" Target="mailto:cordobaarangoasistente@gmail.com" TargetMode="External"/><Relationship Id="rId82" Type="http://schemas.openxmlformats.org/officeDocument/2006/relationships/hyperlink" Target="mailto:tesoreria@caaph.co" TargetMode="External"/><Relationship Id="rId19" Type="http://schemas.openxmlformats.org/officeDocument/2006/relationships/hyperlink" Target="mailto:tesoreria@admonyasesorias.com" TargetMode="External"/><Relationship Id="rId14" Type="http://schemas.openxmlformats.org/officeDocument/2006/relationships/hyperlink" Target="mailto:tesoreria@admonyasesorias.com" TargetMode="External"/><Relationship Id="rId30" Type="http://schemas.openxmlformats.org/officeDocument/2006/relationships/hyperlink" Target="mailto:admonmanzanaonce@gmail.com" TargetMode="External"/><Relationship Id="rId35" Type="http://schemas.openxmlformats.org/officeDocument/2006/relationships/hyperlink" Target="mailto:proveedoresciudadela@gmail.com" TargetMode="External"/><Relationship Id="rId56" Type="http://schemas.openxmlformats.org/officeDocument/2006/relationships/hyperlink" Target="mailto:torre10avellanas@gmail.com" TargetMode="External"/><Relationship Id="rId77" Type="http://schemas.openxmlformats.org/officeDocument/2006/relationships/hyperlink" Target="mailto:tesoreria@admonyasesorias.com" TargetMode="External"/><Relationship Id="rId100" Type="http://schemas.openxmlformats.org/officeDocument/2006/relationships/hyperlink" Target="mailto:muranoplazaph@gmail.com" TargetMode="External"/><Relationship Id="rId105" Type="http://schemas.openxmlformats.org/officeDocument/2006/relationships/hyperlink" Target="mailto:pietrasantaph41@gmail.com" TargetMode="External"/><Relationship Id="rId8" Type="http://schemas.openxmlformats.org/officeDocument/2006/relationships/hyperlink" Target="mailto:tesoreria@admonyasesorias.com" TargetMode="External"/><Relationship Id="rId51" Type="http://schemas.openxmlformats.org/officeDocument/2006/relationships/hyperlink" Target="mailto:tesoreria@admonyasesorias.com" TargetMode="External"/><Relationship Id="rId72" Type="http://schemas.openxmlformats.org/officeDocument/2006/relationships/hyperlink" Target="mailto:tesoreria@admonyasesorias.com" TargetMode="External"/><Relationship Id="rId93" Type="http://schemas.openxmlformats.org/officeDocument/2006/relationships/hyperlink" Target="mailto:auxiliar@conbienesurbanistico.com" TargetMode="External"/><Relationship Id="rId98" Type="http://schemas.openxmlformats.org/officeDocument/2006/relationships/hyperlink" Target="mailto:azaleadelparque@hotmail.com" TargetMode="External"/><Relationship Id="rId3" Type="http://schemas.openxmlformats.org/officeDocument/2006/relationships/hyperlink" Target="mailto:administracionph@areadiez.co" TargetMode="External"/><Relationship Id="rId25" Type="http://schemas.openxmlformats.org/officeDocument/2006/relationships/hyperlink" Target="mailto:cordobaarangoasistente@gmail.com" TargetMode="External"/><Relationship Id="rId46" Type="http://schemas.openxmlformats.org/officeDocument/2006/relationships/hyperlink" Target="mailto:cordobaarangoasistente@gmail.com" TargetMode="External"/><Relationship Id="rId67" Type="http://schemas.openxmlformats.org/officeDocument/2006/relationships/hyperlink" Target="mailto:admon.amatista1@gmail.com" TargetMode="External"/><Relationship Id="rId20" Type="http://schemas.openxmlformats.org/officeDocument/2006/relationships/hyperlink" Target="mailto:tesoreria@admonyasesorias.com" TargetMode="External"/><Relationship Id="rId41" Type="http://schemas.openxmlformats.org/officeDocument/2006/relationships/hyperlink" Target="mailto:informacion@campestredrivein.com" TargetMode="External"/><Relationship Id="rId62" Type="http://schemas.openxmlformats.org/officeDocument/2006/relationships/hyperlink" Target="mailto:claraarango5@gmail.com" TargetMode="External"/><Relationship Id="rId83" Type="http://schemas.openxmlformats.org/officeDocument/2006/relationships/hyperlink" Target="mailto:montrealph5@gmail,com" TargetMode="External"/><Relationship Id="rId88" Type="http://schemas.openxmlformats.org/officeDocument/2006/relationships/hyperlink" Target="mailto:tesoreria@admonyasesorias.com" TargetMode="External"/><Relationship Id="rId111" Type="http://schemas.openxmlformats.org/officeDocument/2006/relationships/hyperlink" Target="mailto:ph.alcaladehenares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1:K120"/>
  <sheetViews>
    <sheetView topLeftCell="A7" workbookViewId="0">
      <selection activeCell="I22" sqref="I22"/>
    </sheetView>
  </sheetViews>
  <sheetFormatPr baseColWidth="10" defaultRowHeight="12.75" x14ac:dyDescent="0.2"/>
  <cols>
    <col min="1" max="1" width="5.42578125" customWidth="1"/>
    <col min="2" max="2" width="45.28515625" bestFit="1" customWidth="1"/>
    <col min="3" max="3" width="11.42578125" style="2" customWidth="1"/>
    <col min="4" max="4" width="10.42578125" customWidth="1"/>
    <col min="5" max="5" width="3" customWidth="1"/>
    <col min="6" max="6" width="26.5703125" customWidth="1"/>
    <col min="7" max="7" width="14.5703125" customWidth="1"/>
    <col min="8" max="8" width="29.5703125" customWidth="1"/>
    <col min="9" max="9" width="14.5703125" customWidth="1"/>
    <col min="10" max="10" width="12.42578125" bestFit="1" customWidth="1"/>
  </cols>
  <sheetData>
    <row r="1" spans="2:11" x14ac:dyDescent="0.2">
      <c r="B1" s="326" t="s">
        <v>10</v>
      </c>
      <c r="C1" s="326"/>
      <c r="D1" s="326"/>
      <c r="E1" s="326"/>
      <c r="F1" s="326"/>
      <c r="G1" s="326"/>
      <c r="H1" s="326"/>
      <c r="I1" s="326"/>
      <c r="J1" s="326"/>
    </row>
    <row r="4" spans="2:11" x14ac:dyDescent="0.2">
      <c r="B4" s="1" t="s">
        <v>11</v>
      </c>
    </row>
    <row r="5" spans="2:11" ht="13.5" thickBot="1" x14ac:dyDescent="0.25">
      <c r="B5" s="3"/>
    </row>
    <row r="6" spans="2:11" ht="14.25" thickTop="1" thickBot="1" x14ac:dyDescent="0.25">
      <c r="B6" s="4" t="s">
        <v>12</v>
      </c>
      <c r="C6" s="4" t="s">
        <v>13</v>
      </c>
      <c r="D6" s="4" t="s">
        <v>14</v>
      </c>
      <c r="F6" s="4" t="s">
        <v>12</v>
      </c>
      <c r="G6" s="4"/>
      <c r="H6" s="4"/>
      <c r="I6" s="4"/>
      <c r="J6" s="4"/>
      <c r="K6" s="4" t="s">
        <v>15</v>
      </c>
    </row>
    <row r="7" spans="2:11" ht="14.25" thickTop="1" thickBot="1" x14ac:dyDescent="0.25">
      <c r="B7" s="5" t="s">
        <v>16</v>
      </c>
      <c r="C7" s="6">
        <v>1</v>
      </c>
      <c r="D7" s="7"/>
      <c r="F7" s="8" t="s">
        <v>17</v>
      </c>
      <c r="G7" s="9"/>
      <c r="H7" s="9"/>
      <c r="I7" s="9"/>
      <c r="J7" s="9"/>
      <c r="K7" s="10">
        <v>0.23</v>
      </c>
    </row>
    <row r="8" spans="2:11" ht="14.25" thickTop="1" thickBot="1" x14ac:dyDescent="0.25">
      <c r="B8" s="11" t="s">
        <v>18</v>
      </c>
      <c r="C8" s="12">
        <f>+G11*C7</f>
        <v>0.23</v>
      </c>
      <c r="D8" s="13" t="s">
        <v>19</v>
      </c>
      <c r="F8" s="14"/>
      <c r="G8" s="9"/>
      <c r="H8" s="9"/>
      <c r="I8" s="9"/>
      <c r="J8" s="9"/>
      <c r="K8" s="10"/>
    </row>
    <row r="9" spans="2:11" ht="14.25" thickTop="1" thickBot="1" x14ac:dyDescent="0.25">
      <c r="B9" s="5" t="s">
        <v>20</v>
      </c>
      <c r="C9" s="15">
        <v>100</v>
      </c>
      <c r="D9" s="7" t="s">
        <v>21</v>
      </c>
      <c r="F9" s="14"/>
      <c r="G9" s="9"/>
      <c r="H9" s="9"/>
      <c r="I9" s="9"/>
      <c r="J9" s="9"/>
      <c r="K9" s="10"/>
    </row>
    <row r="10" spans="2:11" ht="14.25" thickTop="1" thickBot="1" x14ac:dyDescent="0.25">
      <c r="B10" s="5" t="s">
        <v>22</v>
      </c>
      <c r="C10" s="15">
        <v>1000</v>
      </c>
      <c r="D10" s="7" t="s">
        <v>23</v>
      </c>
      <c r="F10" s="16" t="s">
        <v>24</v>
      </c>
      <c r="G10" s="17">
        <f>K9</f>
        <v>0</v>
      </c>
      <c r="H10" s="18"/>
    </row>
    <row r="11" spans="2:11" ht="14.25" thickTop="1" thickBot="1" x14ac:dyDescent="0.25">
      <c r="B11" s="5" t="s">
        <v>25</v>
      </c>
      <c r="C11" s="15">
        <f>+C8*86400</f>
        <v>19872</v>
      </c>
      <c r="D11" s="7" t="s">
        <v>26</v>
      </c>
      <c r="F11" s="19" t="s">
        <v>27</v>
      </c>
      <c r="G11" s="20">
        <f>K7</f>
        <v>0.23</v>
      </c>
      <c r="H11" s="21"/>
    </row>
    <row r="12" spans="2:11" ht="14.25" thickTop="1" thickBot="1" x14ac:dyDescent="0.25">
      <c r="B12" s="14" t="s">
        <v>28</v>
      </c>
      <c r="C12" s="22">
        <f>+C11/C10</f>
        <v>19.872</v>
      </c>
      <c r="D12" s="7" t="s">
        <v>29</v>
      </c>
    </row>
    <row r="13" spans="2:11" ht="15.75" customHeight="1" thickTop="1" thickBot="1" x14ac:dyDescent="0.25">
      <c r="B13" s="14" t="s">
        <v>30</v>
      </c>
      <c r="C13" s="22">
        <f>C12*C9</f>
        <v>1987.2</v>
      </c>
      <c r="D13" s="7" t="s">
        <v>31</v>
      </c>
      <c r="E13" s="23"/>
    </row>
    <row r="14" spans="2:11" ht="14.25" thickTop="1" thickBot="1" x14ac:dyDescent="0.25">
      <c r="B14" s="14" t="s">
        <v>32</v>
      </c>
      <c r="C14" s="22">
        <f>+C13/C7</f>
        <v>1987.2</v>
      </c>
      <c r="D14" s="7" t="s">
        <v>31</v>
      </c>
      <c r="F14">
        <f>C11/86400</f>
        <v>0.23</v>
      </c>
      <c r="G14">
        <f>F14/1000</f>
        <v>2.3000000000000001E-4</v>
      </c>
      <c r="H14" t="s">
        <v>33</v>
      </c>
    </row>
    <row r="15" spans="2:11" ht="13.5" thickTop="1" x14ac:dyDescent="0.2">
      <c r="G15">
        <f>G14*86400</f>
        <v>19.872</v>
      </c>
      <c r="H15" t="s">
        <v>34</v>
      </c>
    </row>
    <row r="17" spans="2:9" x14ac:dyDescent="0.2">
      <c r="B17" s="3" t="s">
        <v>35</v>
      </c>
    </row>
    <row r="18" spans="2:9" ht="13.5" thickBot="1" x14ac:dyDescent="0.25">
      <c r="B18" s="3"/>
      <c r="G18" s="327" t="s">
        <v>36</v>
      </c>
      <c r="H18" s="328"/>
      <c r="I18" s="24"/>
    </row>
    <row r="19" spans="2:9" ht="14.25" thickTop="1" thickBot="1" x14ac:dyDescent="0.25">
      <c r="B19" s="4" t="s">
        <v>12</v>
      </c>
      <c r="C19" s="4" t="s">
        <v>13</v>
      </c>
      <c r="D19" s="4" t="s">
        <v>14</v>
      </c>
      <c r="H19" s="25" t="s">
        <v>17</v>
      </c>
      <c r="I19" s="26">
        <f>(C11/1000)*1.5</f>
        <v>29.808</v>
      </c>
    </row>
    <row r="20" spans="2:9" ht="14.25" thickTop="1" thickBot="1" x14ac:dyDescent="0.25">
      <c r="B20" s="27" t="s">
        <v>37</v>
      </c>
      <c r="C20" s="28">
        <v>120</v>
      </c>
      <c r="D20" s="27" t="s">
        <v>31</v>
      </c>
      <c r="H20" s="25" t="s">
        <v>38</v>
      </c>
      <c r="I20">
        <v>25</v>
      </c>
    </row>
    <row r="21" spans="2:9" ht="14.25" thickTop="1" thickBot="1" x14ac:dyDescent="0.25">
      <c r="B21" s="5" t="s">
        <v>39</v>
      </c>
      <c r="C21" s="29">
        <f>C12*C20</f>
        <v>2384.64</v>
      </c>
      <c r="D21" s="5" t="s">
        <v>31</v>
      </c>
      <c r="H21" s="25" t="s">
        <v>40</v>
      </c>
      <c r="I21" s="54">
        <f>I19/I20</f>
        <v>1.19232</v>
      </c>
    </row>
    <row r="22" spans="2:9" ht="14.25" thickTop="1" thickBot="1" x14ac:dyDescent="0.25">
      <c r="B22" s="5" t="s">
        <v>41</v>
      </c>
      <c r="C22" s="29">
        <f>C21/C7</f>
        <v>2384.64</v>
      </c>
      <c r="D22" s="5" t="s">
        <v>31</v>
      </c>
      <c r="H22" s="25" t="s">
        <v>118</v>
      </c>
    </row>
    <row r="23" spans="2:9" ht="14.25" thickTop="1" thickBot="1" x14ac:dyDescent="0.25">
      <c r="B23" s="5" t="s">
        <v>42</v>
      </c>
      <c r="C23" s="29">
        <v>10</v>
      </c>
      <c r="D23" s="5" t="s">
        <v>31</v>
      </c>
    </row>
    <row r="24" spans="2:9" ht="14.25" thickTop="1" thickBot="1" x14ac:dyDescent="0.25">
      <c r="B24" s="5" t="s">
        <v>43</v>
      </c>
      <c r="C24" s="15">
        <f>C12*C23</f>
        <v>198.72</v>
      </c>
      <c r="D24" s="5" t="s">
        <v>31</v>
      </c>
    </row>
    <row r="25" spans="2:9" ht="14.25" thickTop="1" thickBot="1" x14ac:dyDescent="0.25">
      <c r="B25" s="5" t="s">
        <v>44</v>
      </c>
      <c r="C25" s="15">
        <f>C24/C7</f>
        <v>198.72</v>
      </c>
      <c r="D25" s="5" t="s">
        <v>31</v>
      </c>
    </row>
    <row r="26" spans="2:9" ht="13.5" thickTop="1" x14ac:dyDescent="0.2"/>
    <row r="28" spans="2:9" x14ac:dyDescent="0.2">
      <c r="B28" s="3" t="s">
        <v>45</v>
      </c>
    </row>
    <row r="30" spans="2:9" x14ac:dyDescent="0.2">
      <c r="B30" s="3" t="s">
        <v>46</v>
      </c>
      <c r="C30" s="30" t="s">
        <v>47</v>
      </c>
    </row>
    <row r="31" spans="2:9" ht="13.5" thickBot="1" x14ac:dyDescent="0.25">
      <c r="B31" s="3"/>
    </row>
    <row r="32" spans="2:9" ht="14.25" thickTop="1" thickBot="1" x14ac:dyDescent="0.25">
      <c r="B32" s="4" t="s">
        <v>12</v>
      </c>
      <c r="C32" s="4" t="s">
        <v>13</v>
      </c>
      <c r="D32" s="4" t="s">
        <v>14</v>
      </c>
    </row>
    <row r="33" spans="2:4" ht="14.25" thickTop="1" thickBot="1" x14ac:dyDescent="0.25">
      <c r="B33" s="27" t="s">
        <v>48</v>
      </c>
      <c r="C33" s="28">
        <v>1500</v>
      </c>
      <c r="D33" s="28" t="s">
        <v>49</v>
      </c>
    </row>
    <row r="34" spans="2:4" ht="14.25" thickTop="1" thickBot="1" x14ac:dyDescent="0.25">
      <c r="B34" s="27" t="s">
        <v>50</v>
      </c>
      <c r="C34" s="28">
        <v>30</v>
      </c>
      <c r="D34" s="28" t="s">
        <v>49</v>
      </c>
    </row>
    <row r="35" spans="2:4" ht="14.25" thickTop="1" thickBot="1" x14ac:dyDescent="0.25">
      <c r="B35" s="27" t="s">
        <v>51</v>
      </c>
      <c r="C35" s="31">
        <v>0.85</v>
      </c>
      <c r="D35" s="28"/>
    </row>
    <row r="36" spans="2:4" ht="14.25" thickTop="1" thickBot="1" x14ac:dyDescent="0.25">
      <c r="B36" s="5" t="s">
        <v>52</v>
      </c>
      <c r="C36" s="29">
        <f>C33-(C33*C35)</f>
        <v>225</v>
      </c>
      <c r="D36" s="29" t="s">
        <v>49</v>
      </c>
    </row>
    <row r="37" spans="2:4" ht="14.25" thickTop="1" thickBot="1" x14ac:dyDescent="0.25">
      <c r="B37" s="32" t="s">
        <v>53</v>
      </c>
      <c r="C37" s="33">
        <v>0.68</v>
      </c>
      <c r="D37" s="34"/>
    </row>
    <row r="38" spans="2:4" ht="14.25" thickTop="1" thickBot="1" x14ac:dyDescent="0.25">
      <c r="B38" s="32" t="s">
        <v>54</v>
      </c>
      <c r="C38" s="34">
        <f>C37*C34</f>
        <v>20.400000000000002</v>
      </c>
      <c r="D38" s="34" t="s">
        <v>49</v>
      </c>
    </row>
    <row r="39" spans="2:4" ht="14.25" thickTop="1" thickBot="1" x14ac:dyDescent="0.25">
      <c r="B39" s="5" t="s">
        <v>55</v>
      </c>
      <c r="C39" s="6">
        <f>(C34*C37)*1.42</f>
        <v>28.968</v>
      </c>
      <c r="D39" s="29" t="s">
        <v>49</v>
      </c>
    </row>
    <row r="40" spans="2:4" ht="14.25" thickTop="1" thickBot="1" x14ac:dyDescent="0.25">
      <c r="B40" s="5" t="s">
        <v>56</v>
      </c>
      <c r="C40" s="15">
        <f>C39*0.68</f>
        <v>19.698240000000002</v>
      </c>
      <c r="D40" s="29" t="s">
        <v>49</v>
      </c>
    </row>
    <row r="41" spans="2:4" ht="13.5" thickTop="1" x14ac:dyDescent="0.2"/>
    <row r="42" spans="2:4" x14ac:dyDescent="0.2">
      <c r="B42" t="s">
        <v>57</v>
      </c>
    </row>
    <row r="44" spans="2:4" x14ac:dyDescent="0.2">
      <c r="B44" t="s">
        <v>58</v>
      </c>
    </row>
    <row r="45" spans="2:4" ht="13.5" thickBot="1" x14ac:dyDescent="0.25"/>
    <row r="46" spans="2:4" ht="14.25" thickTop="1" thickBot="1" x14ac:dyDescent="0.25">
      <c r="B46" s="4" t="s">
        <v>12</v>
      </c>
      <c r="C46" s="4" t="s">
        <v>13</v>
      </c>
      <c r="D46" s="4" t="s">
        <v>14</v>
      </c>
    </row>
    <row r="47" spans="2:4" ht="14.25" thickTop="1" thickBot="1" x14ac:dyDescent="0.25">
      <c r="B47" s="5" t="s">
        <v>59</v>
      </c>
      <c r="C47" s="15">
        <f>C36-C40</f>
        <v>205.30176</v>
      </c>
      <c r="D47" s="5" t="s">
        <v>49</v>
      </c>
    </row>
    <row r="48" spans="2:4" ht="13.5" thickTop="1" x14ac:dyDescent="0.2"/>
    <row r="49" spans="2:10" x14ac:dyDescent="0.2">
      <c r="B49" s="3" t="s">
        <v>60</v>
      </c>
    </row>
    <row r="50" spans="2:10" ht="13.5" thickBot="1" x14ac:dyDescent="0.25"/>
    <row r="51" spans="2:10" ht="14.25" thickTop="1" thickBot="1" x14ac:dyDescent="0.25">
      <c r="B51" s="5" t="s">
        <v>61</v>
      </c>
      <c r="C51" s="35">
        <f>(C33-C47)/C33</f>
        <v>0.86313215999999993</v>
      </c>
      <c r="D51" t="s">
        <v>62</v>
      </c>
    </row>
    <row r="52" spans="2:10" ht="13.5" thickTop="1" x14ac:dyDescent="0.2"/>
    <row r="53" spans="2:10" x14ac:dyDescent="0.2">
      <c r="B53" s="3" t="s">
        <v>63</v>
      </c>
    </row>
    <row r="54" spans="2:10" ht="13.5" thickBot="1" x14ac:dyDescent="0.25"/>
    <row r="55" spans="2:10" ht="14.25" thickTop="1" thickBot="1" x14ac:dyDescent="0.25">
      <c r="B55" s="36" t="s">
        <v>12</v>
      </c>
      <c r="C55" s="36" t="s">
        <v>13</v>
      </c>
      <c r="D55" s="36" t="s">
        <v>14</v>
      </c>
    </row>
    <row r="56" spans="2:10" ht="14.25" thickTop="1" thickBot="1" x14ac:dyDescent="0.25">
      <c r="B56" s="37" t="s">
        <v>64</v>
      </c>
      <c r="C56" s="38">
        <v>10</v>
      </c>
      <c r="D56" s="39" t="s">
        <v>65</v>
      </c>
      <c r="F56">
        <f>C56*C57*C58*(C59-C60)</f>
        <v>129168</v>
      </c>
    </row>
    <row r="57" spans="2:10" ht="14.25" thickTop="1" thickBot="1" x14ac:dyDescent="0.25">
      <c r="B57" s="37" t="s">
        <v>66</v>
      </c>
      <c r="C57" s="40">
        <f>+C11/1000</f>
        <v>19.872</v>
      </c>
      <c r="D57" s="39" t="s">
        <v>67</v>
      </c>
      <c r="F57">
        <f>+C61*(1+C62*10)</f>
        <v>6125</v>
      </c>
    </row>
    <row r="58" spans="2:10" ht="14.25" thickTop="1" thickBot="1" x14ac:dyDescent="0.25">
      <c r="B58" s="41" t="s">
        <v>68</v>
      </c>
      <c r="C58" s="42">
        <v>0.5</v>
      </c>
      <c r="D58" s="43" t="s">
        <v>49</v>
      </c>
      <c r="E58" s="329">
        <f>F56/F57</f>
        <v>21.088653061224491</v>
      </c>
      <c r="F58" s="329"/>
      <c r="G58" s="329"/>
      <c r="H58" s="329"/>
      <c r="I58" s="329"/>
      <c r="J58" s="329"/>
    </row>
    <row r="59" spans="2:10" ht="14.25" thickTop="1" thickBot="1" x14ac:dyDescent="0.25">
      <c r="B59" s="37" t="s">
        <v>69</v>
      </c>
      <c r="C59" s="38">
        <v>1500</v>
      </c>
      <c r="D59" s="39" t="s">
        <v>49</v>
      </c>
    </row>
    <row r="60" spans="2:10" ht="14.25" thickTop="1" thickBot="1" x14ac:dyDescent="0.25">
      <c r="B60" s="37" t="s">
        <v>59</v>
      </c>
      <c r="C60" s="38">
        <v>200</v>
      </c>
      <c r="D60" s="39" t="s">
        <v>49</v>
      </c>
    </row>
    <row r="61" spans="2:10" ht="14.25" thickTop="1" thickBot="1" x14ac:dyDescent="0.25">
      <c r="B61" s="37" t="s">
        <v>70</v>
      </c>
      <c r="C61" s="38">
        <v>3500</v>
      </c>
      <c r="D61" s="39" t="s">
        <v>49</v>
      </c>
      <c r="E61" t="s">
        <v>71</v>
      </c>
    </row>
    <row r="62" spans="2:10" ht="14.25" thickTop="1" thickBot="1" x14ac:dyDescent="0.25">
      <c r="B62" s="37" t="s">
        <v>72</v>
      </c>
      <c r="C62" s="38">
        <v>7.4999999999999997E-2</v>
      </c>
      <c r="D62" s="39" t="s">
        <v>73</v>
      </c>
      <c r="E62" t="s">
        <v>74</v>
      </c>
    </row>
    <row r="63" spans="2:10" ht="14.25" thickTop="1" thickBot="1" x14ac:dyDescent="0.25">
      <c r="B63" s="44" t="s">
        <v>75</v>
      </c>
      <c r="C63" s="40">
        <f>(C56*(C57)*(C58)*(C59-C60))/(C61*(1+C62*C56))</f>
        <v>21.088653061224491</v>
      </c>
      <c r="D63" s="39" t="s">
        <v>76</v>
      </c>
    </row>
    <row r="64" spans="2:10" ht="14.25" thickTop="1" thickBot="1" x14ac:dyDescent="0.25">
      <c r="B64" s="44" t="s">
        <v>75</v>
      </c>
      <c r="C64" s="45">
        <f>C63*1000</f>
        <v>21088.65306122449</v>
      </c>
      <c r="D64" s="39" t="s">
        <v>77</v>
      </c>
    </row>
    <row r="65" spans="2:5" ht="13.5" thickTop="1" x14ac:dyDescent="0.2"/>
    <row r="66" spans="2:5" x14ac:dyDescent="0.2">
      <c r="B66" s="3" t="s">
        <v>78</v>
      </c>
    </row>
    <row r="67" spans="2:5" ht="13.5" thickBot="1" x14ac:dyDescent="0.25">
      <c r="B67" s="3"/>
    </row>
    <row r="68" spans="2:5" ht="14.25" thickTop="1" thickBot="1" x14ac:dyDescent="0.25">
      <c r="B68" s="4" t="s">
        <v>12</v>
      </c>
      <c r="C68" s="4" t="s">
        <v>13</v>
      </c>
      <c r="D68" s="4" t="s">
        <v>14</v>
      </c>
    </row>
    <row r="69" spans="2:5" ht="14.25" thickTop="1" thickBot="1" x14ac:dyDescent="0.25">
      <c r="B69" s="5" t="s">
        <v>79</v>
      </c>
      <c r="C69" s="29">
        <v>24</v>
      </c>
      <c r="D69" s="5" t="s">
        <v>80</v>
      </c>
      <c r="E69" t="s">
        <v>81</v>
      </c>
    </row>
    <row r="70" spans="2:5" ht="14.25" thickTop="1" thickBot="1" x14ac:dyDescent="0.25">
      <c r="B70" s="5" t="s">
        <v>82</v>
      </c>
      <c r="C70" s="6">
        <f>G11</f>
        <v>0.23</v>
      </c>
      <c r="D70" s="5" t="s">
        <v>19</v>
      </c>
    </row>
    <row r="71" spans="2:5" ht="14.25" thickTop="1" thickBot="1" x14ac:dyDescent="0.25">
      <c r="B71" s="5" t="s">
        <v>83</v>
      </c>
      <c r="C71" s="29">
        <f>C69*C70*(3600/1)</f>
        <v>19872</v>
      </c>
      <c r="D71" s="5" t="s">
        <v>84</v>
      </c>
    </row>
    <row r="72" spans="2:5" ht="13.5" thickTop="1" x14ac:dyDescent="0.2"/>
    <row r="73" spans="2:5" x14ac:dyDescent="0.2">
      <c r="B73" t="s">
        <v>85</v>
      </c>
    </row>
    <row r="74" spans="2:5" ht="13.5" thickBot="1" x14ac:dyDescent="0.25"/>
    <row r="75" spans="2:5" ht="14.25" thickTop="1" thickBot="1" x14ac:dyDescent="0.25">
      <c r="B75" s="4" t="s">
        <v>12</v>
      </c>
      <c r="C75" s="4" t="s">
        <v>13</v>
      </c>
      <c r="D75" s="4" t="s">
        <v>14</v>
      </c>
    </row>
    <row r="76" spans="2:5" ht="14.25" thickTop="1" thickBot="1" x14ac:dyDescent="0.25">
      <c r="B76" s="5" t="s">
        <v>86</v>
      </c>
      <c r="C76" s="15">
        <f>(C71+C64)/2</f>
        <v>20480.326530612245</v>
      </c>
      <c r="D76" s="5" t="s">
        <v>77</v>
      </c>
    </row>
    <row r="77" spans="2:5" ht="14.25" thickTop="1" thickBot="1" x14ac:dyDescent="0.25">
      <c r="B77" s="5" t="s">
        <v>87</v>
      </c>
      <c r="C77" s="29">
        <v>20000</v>
      </c>
      <c r="D77" s="5" t="s">
        <v>77</v>
      </c>
    </row>
    <row r="78" spans="2:5" ht="14.25" thickTop="1" thickBot="1" x14ac:dyDescent="0.25">
      <c r="B78" s="46" t="s">
        <v>75</v>
      </c>
      <c r="C78" s="47">
        <f>C77/1000</f>
        <v>20</v>
      </c>
      <c r="D78" s="48" t="s">
        <v>88</v>
      </c>
    </row>
    <row r="79" spans="2:5" ht="13.5" thickTop="1" x14ac:dyDescent="0.2"/>
    <row r="81" spans="2:4" x14ac:dyDescent="0.2">
      <c r="B81" s="3" t="s">
        <v>89</v>
      </c>
    </row>
    <row r="83" spans="2:4" ht="13.5" thickBot="1" x14ac:dyDescent="0.25"/>
    <row r="84" spans="2:4" ht="14.25" thickTop="1" thickBot="1" x14ac:dyDescent="0.25">
      <c r="B84" s="4" t="s">
        <v>12</v>
      </c>
      <c r="C84" s="4" t="s">
        <v>13</v>
      </c>
      <c r="D84" s="4" t="s">
        <v>14</v>
      </c>
    </row>
    <row r="85" spans="2:4" ht="14.25" thickTop="1" thickBot="1" x14ac:dyDescent="0.25">
      <c r="B85" s="5" t="s">
        <v>90</v>
      </c>
      <c r="C85" s="49">
        <f>C58/((1+C62)*C56)</f>
        <v>4.6511627906976744E-2</v>
      </c>
      <c r="D85" s="50" t="s">
        <v>49</v>
      </c>
    </row>
    <row r="86" spans="2:4" ht="14.25" thickTop="1" thickBot="1" x14ac:dyDescent="0.25">
      <c r="B86" s="5" t="s">
        <v>91</v>
      </c>
      <c r="C86" s="6">
        <f>((C85*(C57)*(C59-C60))/1000)</f>
        <v>1.2015627906976745</v>
      </c>
      <c r="D86" s="5" t="s">
        <v>92</v>
      </c>
    </row>
    <row r="87" spans="2:4" ht="14.25" thickTop="1" thickBot="1" x14ac:dyDescent="0.25">
      <c r="B87" s="5" t="s">
        <v>93</v>
      </c>
      <c r="C87" s="15">
        <v>8000</v>
      </c>
      <c r="D87" s="5" t="s">
        <v>49</v>
      </c>
    </row>
    <row r="88" spans="2:4" ht="14.25" thickTop="1" thickBot="1" x14ac:dyDescent="0.25">
      <c r="B88" s="5" t="s">
        <v>94</v>
      </c>
      <c r="C88" s="51">
        <f>+C86/0.8</f>
        <v>1.5019534883720931</v>
      </c>
      <c r="D88" s="5" t="s">
        <v>92</v>
      </c>
    </row>
    <row r="89" spans="2:4" ht="14.25" thickTop="1" thickBot="1" x14ac:dyDescent="0.25">
      <c r="B89" s="5" t="s">
        <v>95</v>
      </c>
      <c r="C89" s="6">
        <f>+(C78*C61)/(C56*C87)</f>
        <v>0.875</v>
      </c>
      <c r="D89" s="5" t="s">
        <v>67</v>
      </c>
    </row>
    <row r="90" spans="2:4" ht="13.5" thickTop="1" x14ac:dyDescent="0.2"/>
    <row r="91" spans="2:4" x14ac:dyDescent="0.2">
      <c r="B91" s="3" t="s">
        <v>96</v>
      </c>
    </row>
    <row r="92" spans="2:4" ht="13.5" thickBot="1" x14ac:dyDescent="0.25">
      <c r="B92" s="3"/>
    </row>
    <row r="93" spans="2:4" ht="14.25" thickTop="1" thickBot="1" x14ac:dyDescent="0.25">
      <c r="B93" s="4" t="s">
        <v>12</v>
      </c>
      <c r="C93" s="4" t="s">
        <v>13</v>
      </c>
      <c r="D93" s="4" t="s">
        <v>14</v>
      </c>
    </row>
    <row r="94" spans="2:4" ht="14.25" thickTop="1" thickBot="1" x14ac:dyDescent="0.25">
      <c r="B94" s="5" t="s">
        <v>97</v>
      </c>
      <c r="C94" s="29">
        <v>3000</v>
      </c>
      <c r="D94" s="5" t="s">
        <v>49</v>
      </c>
    </row>
    <row r="95" spans="2:4" ht="14.25" thickTop="1" thickBot="1" x14ac:dyDescent="0.25">
      <c r="B95" s="5" t="s">
        <v>98</v>
      </c>
      <c r="C95" s="29">
        <v>8000</v>
      </c>
      <c r="D95" s="5" t="s">
        <v>49</v>
      </c>
    </row>
    <row r="96" spans="2:4" ht="14.25" thickTop="1" thickBot="1" x14ac:dyDescent="0.25">
      <c r="B96" s="5" t="s">
        <v>99</v>
      </c>
      <c r="C96" s="6">
        <f>C94/(C95-C94)</f>
        <v>0.6</v>
      </c>
      <c r="D96" s="5"/>
    </row>
    <row r="97" spans="2:4" ht="13.5" thickTop="1" x14ac:dyDescent="0.2"/>
    <row r="98" spans="2:4" x14ac:dyDescent="0.2">
      <c r="B98" s="3" t="s">
        <v>100</v>
      </c>
    </row>
    <row r="99" spans="2:4" ht="13.5" thickBot="1" x14ac:dyDescent="0.25">
      <c r="B99" s="3"/>
    </row>
    <row r="100" spans="2:4" ht="14.25" thickTop="1" thickBot="1" x14ac:dyDescent="0.25">
      <c r="B100" s="4" t="s">
        <v>12</v>
      </c>
      <c r="C100" s="4" t="s">
        <v>13</v>
      </c>
      <c r="D100" s="4" t="s">
        <v>14</v>
      </c>
    </row>
    <row r="101" spans="2:4" ht="14.25" thickTop="1" thickBot="1" x14ac:dyDescent="0.25">
      <c r="B101" s="5" t="s">
        <v>101</v>
      </c>
      <c r="C101" s="29">
        <v>0.68</v>
      </c>
      <c r="D101" s="5" t="s">
        <v>55</v>
      </c>
    </row>
    <row r="102" spans="2:4" ht="14.25" thickTop="1" thickBot="1" x14ac:dyDescent="0.25">
      <c r="B102" s="5" t="s">
        <v>102</v>
      </c>
      <c r="C102" s="51">
        <f>((C57)*(C59-C60))/(C101*1000)</f>
        <v>37.990588235294112</v>
      </c>
      <c r="D102" s="5" t="s">
        <v>92</v>
      </c>
    </row>
    <row r="103" spans="2:4" ht="14.25" thickTop="1" thickBot="1" x14ac:dyDescent="0.25">
      <c r="B103" s="5" t="s">
        <v>103</v>
      </c>
      <c r="C103" s="51">
        <f>C102-(1.42*C88)</f>
        <v>35.857814281805737</v>
      </c>
      <c r="D103" s="5" t="s">
        <v>104</v>
      </c>
    </row>
    <row r="104" spans="2:4" ht="14.25" thickTop="1" thickBot="1" x14ac:dyDescent="0.25">
      <c r="B104" s="52" t="s">
        <v>105</v>
      </c>
      <c r="C104" s="51">
        <f>C77/(C70*3600)</f>
        <v>24.154589371980677</v>
      </c>
      <c r="D104" s="5" t="s">
        <v>80</v>
      </c>
    </row>
    <row r="105" spans="2:4" ht="14.25" thickTop="1" thickBot="1" x14ac:dyDescent="0.25">
      <c r="B105" s="52" t="s">
        <v>105</v>
      </c>
      <c r="C105" s="51">
        <f>C104/24</f>
        <v>1.0064412238325282</v>
      </c>
      <c r="D105" s="5" t="s">
        <v>65</v>
      </c>
    </row>
    <row r="106" spans="2:4" ht="14.25" thickTop="1" thickBot="1" x14ac:dyDescent="0.25">
      <c r="B106" s="5" t="s">
        <v>106</v>
      </c>
      <c r="C106" s="6">
        <f>(C59)/(C105*C94)</f>
        <v>0.49679999999999996</v>
      </c>
      <c r="D106" s="5" t="s">
        <v>73</v>
      </c>
    </row>
    <row r="107" spans="2:4" ht="14.25" thickTop="1" thickBot="1" x14ac:dyDescent="0.25">
      <c r="B107" s="5" t="s">
        <v>107</v>
      </c>
      <c r="C107" s="6">
        <f>((C59)*(C8*86400)*(1/1000))/(C78*1000)</f>
        <v>1.4903999999999999</v>
      </c>
      <c r="D107" s="5" t="s">
        <v>108</v>
      </c>
    </row>
    <row r="108" spans="2:4" ht="14.25" thickTop="1" thickBot="1" x14ac:dyDescent="0.25">
      <c r="B108" s="5" t="s">
        <v>109</v>
      </c>
      <c r="C108" s="53">
        <f>23.2/100</f>
        <v>0.23199999999999998</v>
      </c>
      <c r="D108" s="5"/>
    </row>
    <row r="109" spans="2:4" ht="14.25" thickTop="1" thickBot="1" x14ac:dyDescent="0.25">
      <c r="B109" s="5" t="s">
        <v>110</v>
      </c>
      <c r="C109" s="6">
        <f>C103/(C107*C108)</f>
        <v>103.70339795902321</v>
      </c>
      <c r="D109" s="5" t="s">
        <v>67</v>
      </c>
    </row>
    <row r="110" spans="2:4" ht="14.25" thickTop="1" thickBot="1" x14ac:dyDescent="0.25">
      <c r="B110" s="5" t="s">
        <v>111</v>
      </c>
      <c r="C110" s="35">
        <v>0.2</v>
      </c>
      <c r="D110" s="5"/>
    </row>
    <row r="111" spans="2:4" ht="14.25" thickTop="1" thickBot="1" x14ac:dyDescent="0.25">
      <c r="B111" s="5" t="s">
        <v>112</v>
      </c>
      <c r="C111" s="15">
        <f>C109/C110</f>
        <v>518.51698979511605</v>
      </c>
      <c r="D111" s="5" t="s">
        <v>67</v>
      </c>
    </row>
    <row r="112" spans="2:4" ht="13.5" thickTop="1" x14ac:dyDescent="0.2"/>
    <row r="113" spans="2:4" x14ac:dyDescent="0.2">
      <c r="B113" t="s">
        <v>113</v>
      </c>
    </row>
    <row r="114" spans="2:4" ht="13.5" thickBot="1" x14ac:dyDescent="0.25"/>
    <row r="115" spans="2:4" ht="14.25" thickTop="1" thickBot="1" x14ac:dyDescent="0.25">
      <c r="B115" s="4" t="s">
        <v>12</v>
      </c>
      <c r="C115" s="4" t="s">
        <v>13</v>
      </c>
      <c r="D115" s="4" t="s">
        <v>14</v>
      </c>
    </row>
    <row r="116" spans="2:4" ht="14.25" thickTop="1" thickBot="1" x14ac:dyDescent="0.25">
      <c r="B116" s="5" t="s">
        <v>114</v>
      </c>
      <c r="C116" s="29">
        <v>1.2</v>
      </c>
      <c r="D116" s="5"/>
    </row>
    <row r="117" spans="2:4" ht="14.25" thickTop="1" thickBot="1" x14ac:dyDescent="0.25">
      <c r="B117" s="5" t="s">
        <v>115</v>
      </c>
      <c r="C117" s="15">
        <f>C111*C116</f>
        <v>622.22038775413921</v>
      </c>
      <c r="D117" s="5" t="s">
        <v>67</v>
      </c>
    </row>
    <row r="118" spans="2:4" ht="14.25" thickTop="1" thickBot="1" x14ac:dyDescent="0.25">
      <c r="B118" s="5" t="s">
        <v>115</v>
      </c>
      <c r="C118" s="15">
        <f>+C117/24</f>
        <v>25.925849489755802</v>
      </c>
      <c r="D118" s="5" t="s">
        <v>116</v>
      </c>
    </row>
    <row r="119" spans="2:4" ht="14.25" thickTop="1" thickBot="1" x14ac:dyDescent="0.25">
      <c r="B119" s="5" t="s">
        <v>115</v>
      </c>
      <c r="C119" s="15">
        <f>C118*0.5885</f>
        <v>15.25736242472129</v>
      </c>
      <c r="D119" s="52" t="s">
        <v>117</v>
      </c>
    </row>
    <row r="120" spans="2:4" ht="13.5" thickTop="1" x14ac:dyDescent="0.2"/>
  </sheetData>
  <mergeCells count="3">
    <mergeCell ref="B1:J1"/>
    <mergeCell ref="G18:H18"/>
    <mergeCell ref="E58:J58"/>
  </mergeCells>
  <phoneticPr fontId="36" type="noConversion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K100"/>
  <sheetViews>
    <sheetView tabSelected="1" zoomScaleNormal="100" workbookViewId="0">
      <selection activeCell="A5" sqref="A5:B5"/>
    </sheetView>
  </sheetViews>
  <sheetFormatPr baseColWidth="10" defaultRowHeight="12.75" x14ac:dyDescent="0.2"/>
  <cols>
    <col min="1" max="1" width="35.5703125" style="58" customWidth="1"/>
    <col min="2" max="2" width="12" style="58" customWidth="1"/>
    <col min="3" max="3" width="48.85546875" style="58" customWidth="1"/>
    <col min="4" max="4" width="11.42578125" style="58"/>
    <col min="5" max="5" width="12" style="58" bestFit="1" customWidth="1"/>
    <col min="6" max="6" width="11.42578125" style="58"/>
    <col min="7" max="7" width="13" style="58" bestFit="1" customWidth="1"/>
    <col min="8" max="16384" width="11.42578125" style="58"/>
  </cols>
  <sheetData>
    <row r="1" spans="1:11" ht="24" thickBot="1" x14ac:dyDescent="0.25">
      <c r="A1" s="131"/>
      <c r="B1" s="149"/>
      <c r="C1" s="269" t="s">
        <v>148</v>
      </c>
      <c r="D1" s="149"/>
      <c r="E1" s="149"/>
      <c r="F1" s="149"/>
      <c r="G1" s="149"/>
      <c r="H1" s="131"/>
      <c r="I1" s="131"/>
    </row>
    <row r="2" spans="1:11" ht="15.75" customHeight="1" thickBot="1" x14ac:dyDescent="0.25">
      <c r="A2" s="151" t="s">
        <v>151</v>
      </c>
      <c r="B2" s="175" t="s">
        <v>283</v>
      </c>
      <c r="C2" s="176" t="s">
        <v>152</v>
      </c>
      <c r="D2" s="154" t="s">
        <v>155</v>
      </c>
      <c r="E2" s="152"/>
      <c r="F2" s="152"/>
      <c r="G2" s="152"/>
      <c r="H2" s="149"/>
      <c r="I2" s="150" t="s">
        <v>1095</v>
      </c>
    </row>
    <row r="3" spans="1:11" ht="35.25" customHeight="1" thickBot="1" x14ac:dyDescent="0.25">
      <c r="A3" s="179">
        <v>45156</v>
      </c>
      <c r="B3" s="177" t="str">
        <f>INDEX(IC!A2:C213,MATCH(CAPTURA!C3,IC!B2:B213,0),1)</f>
        <v>901089729-1</v>
      </c>
      <c r="C3" s="178" t="s">
        <v>349</v>
      </c>
      <c r="D3" s="334" t="s">
        <v>1505</v>
      </c>
      <c r="E3" s="335"/>
      <c r="F3" s="335"/>
      <c r="G3" s="335"/>
      <c r="H3" s="335"/>
      <c r="I3" s="336"/>
      <c r="J3" s="58" t="s">
        <v>128</v>
      </c>
    </row>
    <row r="4" spans="1:11" ht="13.5" thickBot="1" x14ac:dyDescent="0.25">
      <c r="A4" s="337" t="s">
        <v>725</v>
      </c>
      <c r="B4" s="338"/>
      <c r="C4" s="339" t="s">
        <v>1094</v>
      </c>
      <c r="D4" s="340"/>
      <c r="E4" s="153" t="s">
        <v>1</v>
      </c>
      <c r="F4" s="153" t="s">
        <v>2</v>
      </c>
      <c r="G4" s="153" t="s">
        <v>3</v>
      </c>
    </row>
    <row r="5" spans="1:11" s="259" customFormat="1" ht="13.5" thickBot="1" x14ac:dyDescent="0.25">
      <c r="A5" s="332"/>
      <c r="B5" s="333"/>
      <c r="C5" s="330" t="str">
        <f>IFERROR(INDEX(Precios!A$1:C$417, MATCH(A5,Precios!A$1:A$417,0),2),"-")</f>
        <v>-</v>
      </c>
      <c r="D5" s="331"/>
      <c r="E5" s="264">
        <v>1</v>
      </c>
      <c r="F5" s="267" t="str">
        <f>IFERROR(INDEX(Precios!A3:C384,MATCH(A5,Precios!A3:A384,0),3),"-")</f>
        <v>-</v>
      </c>
      <c r="G5" s="268" t="str">
        <f>IFERROR(+F5*E5,"-")</f>
        <v>-</v>
      </c>
      <c r="J5" s="260"/>
    </row>
    <row r="6" spans="1:11" s="259" customFormat="1" ht="13.5" thickBot="1" x14ac:dyDescent="0.25">
      <c r="A6" s="332"/>
      <c r="B6" s="333"/>
      <c r="C6" s="330" t="str">
        <f>IFERROR(INDEX(Precios!A$1:C$417, MATCH(A6,Precios!A$1:A$417,0),2),"-")</f>
        <v>-</v>
      </c>
      <c r="D6" s="331"/>
      <c r="E6" s="264">
        <v>1</v>
      </c>
      <c r="F6" s="267" t="str">
        <f>IFERROR(INDEX(Precios!A4:C385,MATCH(A6,Precios!A4:A385,0),3),"-")</f>
        <v>-</v>
      </c>
      <c r="G6" s="268" t="str">
        <f t="shared" ref="G6:G7" si="0">IFERROR(+F6*E6,"-")</f>
        <v>-</v>
      </c>
      <c r="J6" s="260"/>
    </row>
    <row r="7" spans="1:11" s="259" customFormat="1" ht="13.5" thickBot="1" x14ac:dyDescent="0.25">
      <c r="A7" s="332"/>
      <c r="B7" s="333"/>
      <c r="C7" s="330" t="str">
        <f>IFERROR(INDEX(Precios!A$1:C$417, MATCH(A7,Precios!A$1:A$417,0),2),"-")</f>
        <v>-</v>
      </c>
      <c r="D7" s="331"/>
      <c r="E7" s="264">
        <v>1</v>
      </c>
      <c r="F7" s="267" t="str">
        <f>IFERROR(INDEX(Precios!A5:C386,MATCH(A7,Precios!A5:A386,0),3),"-")</f>
        <v>-</v>
      </c>
      <c r="G7" s="268" t="str">
        <f t="shared" si="0"/>
        <v>-</v>
      </c>
      <c r="J7" s="260"/>
    </row>
    <row r="8" spans="1:11" ht="13.5" thickBot="1" x14ac:dyDescent="0.25">
      <c r="A8" s="332"/>
      <c r="B8" s="333"/>
      <c r="C8" s="330" t="str">
        <f>IFERROR(INDEX(Precios!A$1:C$417, MATCH(A8,Precios!A$1:A$417,0),2),"-")</f>
        <v>-</v>
      </c>
      <c r="D8" s="331"/>
      <c r="E8" s="264">
        <v>1</v>
      </c>
      <c r="F8" s="267" t="str">
        <f>IFERROR(INDEX(Precios!A6:C387,MATCH(A8,Precios!A6:A387,0),3),"-")</f>
        <v>-</v>
      </c>
      <c r="G8" s="268" t="str">
        <f t="shared" ref="G8:G38" si="1">IFERROR(+F8*E8,"-")</f>
        <v>-</v>
      </c>
      <c r="J8" s="128"/>
    </row>
    <row r="9" spans="1:11" ht="13.5" thickBot="1" x14ac:dyDescent="0.25">
      <c r="A9" s="332"/>
      <c r="B9" s="333"/>
      <c r="C9" s="330" t="str">
        <f>IFERROR(INDEX(Precios!A$1:C$417, MATCH(A9,Precios!A$1:A$417,0),2),"-")</f>
        <v>-</v>
      </c>
      <c r="D9" s="331"/>
      <c r="E9" s="264">
        <v>1</v>
      </c>
      <c r="F9" s="267" t="str">
        <f>IFERROR(INDEX(Precios!A7:C388,MATCH(A9,Precios!A7:A388,0),3),"-")</f>
        <v>-</v>
      </c>
      <c r="G9" s="268" t="str">
        <f t="shared" si="1"/>
        <v>-</v>
      </c>
      <c r="J9" s="128"/>
    </row>
    <row r="10" spans="1:11" ht="13.5" thickBot="1" x14ac:dyDescent="0.25">
      <c r="A10" s="332"/>
      <c r="B10" s="333"/>
      <c r="C10" s="330" t="str">
        <f>IFERROR(INDEX(Precios!A$1:C$417, MATCH(A10,Precios!A$1:A$417,0),2),"-")</f>
        <v>-</v>
      </c>
      <c r="D10" s="331"/>
      <c r="E10" s="264">
        <v>1</v>
      </c>
      <c r="F10" s="267" t="str">
        <f>IFERROR(INDEX(Precios!A8:C389,MATCH(A10,Precios!A8:A389,0),3),"-")</f>
        <v>-</v>
      </c>
      <c r="G10" s="268" t="str">
        <f t="shared" si="1"/>
        <v>-</v>
      </c>
      <c r="J10" s="128"/>
    </row>
    <row r="11" spans="1:11" ht="13.5" thickBot="1" x14ac:dyDescent="0.25">
      <c r="A11" s="332"/>
      <c r="B11" s="333"/>
      <c r="C11" s="330" t="str">
        <f>IFERROR(INDEX(Precios!A$1:C$417, MATCH(A11,Precios!A$1:A$417,0),2),"-")</f>
        <v>-</v>
      </c>
      <c r="D11" s="331"/>
      <c r="E11" s="264">
        <v>1</v>
      </c>
      <c r="F11" s="267" t="str">
        <f>IFERROR(INDEX(Precios!A9:C390,MATCH(A11,Precios!A9:A390,0),3),"-")</f>
        <v>-</v>
      </c>
      <c r="G11" s="268" t="str">
        <f t="shared" si="1"/>
        <v>-</v>
      </c>
      <c r="I11" s="205" t="s">
        <v>128</v>
      </c>
    </row>
    <row r="12" spans="1:11" ht="13.5" thickBot="1" x14ac:dyDescent="0.25">
      <c r="A12" s="332"/>
      <c r="B12" s="333"/>
      <c r="C12" s="330" t="str">
        <f>IFERROR(INDEX(Precios!A$1:C$417, MATCH(A12,Precios!A$1:A$417,0),2),"-")</f>
        <v>-</v>
      </c>
      <c r="D12" s="331"/>
      <c r="E12" s="264">
        <v>1</v>
      </c>
      <c r="F12" s="267" t="str">
        <f>IFERROR(INDEX(Precios!A10:C391,MATCH(A12,Precios!A10:A391,0),3),"-")</f>
        <v>-</v>
      </c>
      <c r="G12" s="268" t="str">
        <f t="shared" si="1"/>
        <v>-</v>
      </c>
    </row>
    <row r="13" spans="1:11" ht="13.5" thickBot="1" x14ac:dyDescent="0.25">
      <c r="A13" s="332"/>
      <c r="B13" s="333"/>
      <c r="C13" s="330" t="str">
        <f>IFERROR(INDEX(Precios!A$1:C$417, MATCH(A13,Precios!A$1:A$417,0),2),"-")</f>
        <v>-</v>
      </c>
      <c r="D13" s="331"/>
      <c r="E13" s="264">
        <v>1</v>
      </c>
      <c r="F13" s="267" t="str">
        <f>IFERROR(INDEX(Precios!A11:C392,MATCH(A13,Precios!A11:A392,0),3),"-")</f>
        <v>-</v>
      </c>
      <c r="G13" s="268" t="str">
        <f t="shared" si="1"/>
        <v>-</v>
      </c>
    </row>
    <row r="14" spans="1:11" ht="13.5" thickBot="1" x14ac:dyDescent="0.25">
      <c r="A14" s="332"/>
      <c r="B14" s="333"/>
      <c r="C14" s="330" t="str">
        <f>IFERROR(INDEX(Precios!A$1:C$417, MATCH(A14,Precios!A$1:A$417,0),2),"-")</f>
        <v>-</v>
      </c>
      <c r="D14" s="331"/>
      <c r="E14" s="264">
        <v>1</v>
      </c>
      <c r="F14" s="267" t="str">
        <f>IFERROR(INDEX(Precios!A12:C426,MATCH(A14,Precios!A12:A426,0),3),"-")</f>
        <v>-</v>
      </c>
      <c r="G14" s="268" t="str">
        <f t="shared" si="1"/>
        <v>-</v>
      </c>
    </row>
    <row r="15" spans="1:11" ht="13.5" thickBot="1" x14ac:dyDescent="0.25">
      <c r="A15" s="332"/>
      <c r="B15" s="333"/>
      <c r="C15" s="330" t="str">
        <f>IFERROR(INDEX(Precios!A$1:C$417, MATCH(A15,Precios!A$1:A$417,0),2),"-")</f>
        <v>-</v>
      </c>
      <c r="D15" s="331"/>
      <c r="E15" s="264">
        <v>2</v>
      </c>
      <c r="F15" s="267" t="str">
        <f>IFERROR(INDEX(Precios!A13:C427,MATCH(A15,Precios!A13:A427,0),3),"-")</f>
        <v>-</v>
      </c>
      <c r="G15" s="268" t="str">
        <f t="shared" si="1"/>
        <v>-</v>
      </c>
      <c r="I15" s="130"/>
      <c r="J15" s="130"/>
      <c r="K15" s="130"/>
    </row>
    <row r="16" spans="1:11" ht="13.5" thickBot="1" x14ac:dyDescent="0.25">
      <c r="A16" s="332"/>
      <c r="B16" s="333"/>
      <c r="C16" s="330" t="str">
        <f>IFERROR(INDEX(Precios!A$1:C$417, MATCH(A16,Precios!A$1:A$417,0),2),"-")</f>
        <v>-</v>
      </c>
      <c r="D16" s="331"/>
      <c r="E16" s="264">
        <v>1</v>
      </c>
      <c r="F16" s="267" t="str">
        <f>IFERROR(INDEX(Precios!A14:C428,MATCH(A16,Precios!A14:A428,0),3),"-")</f>
        <v>-</v>
      </c>
      <c r="G16" s="268" t="str">
        <f t="shared" si="1"/>
        <v>-</v>
      </c>
      <c r="I16" s="130"/>
      <c r="J16" s="130"/>
      <c r="K16" s="130"/>
    </row>
    <row r="17" spans="1:11" ht="13.5" thickBot="1" x14ac:dyDescent="0.25">
      <c r="A17" s="332"/>
      <c r="B17" s="333"/>
      <c r="C17" s="330" t="str">
        <f>IFERROR(INDEX(Precios!A$1:C$417, MATCH(A17,Precios!A$1:A$417,0),2),"-")</f>
        <v>-</v>
      </c>
      <c r="D17" s="331"/>
      <c r="E17" s="264">
        <v>1</v>
      </c>
      <c r="F17" s="267" t="str">
        <f>IFERROR(INDEX(Precios!A15:C429,MATCH(A17,Precios!A15:A429,0),3),"-")</f>
        <v>-</v>
      </c>
      <c r="G17" s="268" t="str">
        <f t="shared" si="1"/>
        <v>-</v>
      </c>
      <c r="I17" s="130"/>
      <c r="J17" s="130"/>
      <c r="K17" s="130"/>
    </row>
    <row r="18" spans="1:11" ht="13.5" thickBot="1" x14ac:dyDescent="0.25">
      <c r="A18" s="332"/>
      <c r="B18" s="333"/>
      <c r="C18" s="330" t="str">
        <f>IFERROR(INDEX(Precios!A$1:C$417, MATCH(A18,Precios!A$1:A$417,0),2),"-")</f>
        <v>-</v>
      </c>
      <c r="D18" s="331"/>
      <c r="E18" s="264">
        <v>1</v>
      </c>
      <c r="F18" s="267" t="str">
        <f>IFERROR(INDEX(Precios!A16:C430,MATCH(A18,Precios!A16:A430,0),3),"-")</f>
        <v>-</v>
      </c>
      <c r="G18" s="268" t="str">
        <f t="shared" si="1"/>
        <v>-</v>
      </c>
      <c r="H18" s="58" t="s">
        <v>128</v>
      </c>
      <c r="I18" s="130"/>
      <c r="J18" s="130"/>
      <c r="K18" s="130"/>
    </row>
    <row r="19" spans="1:11" ht="13.5" thickBot="1" x14ac:dyDescent="0.25">
      <c r="A19" s="332"/>
      <c r="B19" s="333"/>
      <c r="C19" s="330" t="str">
        <f>IFERROR(INDEX(Precios!A$1:C$417, MATCH(A19,Precios!A$1:A$417,0),2),"-")</f>
        <v>-</v>
      </c>
      <c r="D19" s="331"/>
      <c r="E19" s="264">
        <v>1</v>
      </c>
      <c r="F19" s="267" t="str">
        <f>IFERROR(INDEX(Precios!A17:C431,MATCH(A19,Precios!A17:A431,0),3),"-")</f>
        <v>-</v>
      </c>
      <c r="G19" s="268" t="str">
        <f t="shared" si="1"/>
        <v>-</v>
      </c>
      <c r="I19" s="130"/>
      <c r="J19" s="130"/>
      <c r="K19" s="130"/>
    </row>
    <row r="20" spans="1:11" ht="13.5" thickBot="1" x14ac:dyDescent="0.25">
      <c r="A20" s="332"/>
      <c r="B20" s="333"/>
      <c r="C20" s="330" t="str">
        <f>IFERROR(INDEX(Precios!A$1:C$417, MATCH(A20,Precios!A$1:A$417,0),2),"-")</f>
        <v>-</v>
      </c>
      <c r="D20" s="331"/>
      <c r="E20" s="264">
        <v>1</v>
      </c>
      <c r="F20" s="267" t="str">
        <f>IFERROR(INDEX(Precios!A18:C432,MATCH(A20,Precios!A18:A432,0),3),"-")</f>
        <v>-</v>
      </c>
      <c r="G20" s="268" t="str">
        <f t="shared" si="1"/>
        <v>-</v>
      </c>
      <c r="I20" s="130"/>
      <c r="J20" s="130"/>
      <c r="K20" s="130"/>
    </row>
    <row r="21" spans="1:11" ht="13.5" thickBot="1" x14ac:dyDescent="0.25">
      <c r="A21" s="332"/>
      <c r="B21" s="333"/>
      <c r="C21" s="330" t="str">
        <f>IFERROR(INDEX(Precios!A$1:C$417, MATCH(A21,Precios!A$1:A$417,0),2),"-")</f>
        <v>-</v>
      </c>
      <c r="D21" s="331"/>
      <c r="E21" s="264">
        <v>1</v>
      </c>
      <c r="F21" s="267" t="str">
        <f>IFERROR(INDEX(Precios!A19:C433,MATCH(A21,Precios!A19:A433,0),3),"-")</f>
        <v>-</v>
      </c>
      <c r="G21" s="268" t="str">
        <f t="shared" si="1"/>
        <v>-</v>
      </c>
      <c r="I21" s="130"/>
      <c r="J21" s="130"/>
      <c r="K21" s="130"/>
    </row>
    <row r="22" spans="1:11" ht="13.5" thickBot="1" x14ac:dyDescent="0.25">
      <c r="A22" s="332"/>
      <c r="B22" s="333"/>
      <c r="C22" s="330" t="str">
        <f>IFERROR(INDEX(Precios!A$1:C$417, MATCH(A22,Precios!A$1:A$417,0),2),"-")</f>
        <v>-</v>
      </c>
      <c r="D22" s="331"/>
      <c r="E22" s="264">
        <v>1</v>
      </c>
      <c r="F22" s="267" t="str">
        <f>IFERROR(INDEX(Precios!A20:C434,MATCH(A22,Precios!A20:A434,0),3),"-")</f>
        <v>-</v>
      </c>
      <c r="G22" s="268" t="str">
        <f t="shared" si="1"/>
        <v>-</v>
      </c>
      <c r="I22" s="130"/>
      <c r="J22" s="130"/>
      <c r="K22" s="130"/>
    </row>
    <row r="23" spans="1:11" ht="13.5" thickBot="1" x14ac:dyDescent="0.25">
      <c r="A23" s="332"/>
      <c r="B23" s="333"/>
      <c r="C23" s="330" t="str">
        <f>IFERROR(INDEX(Precios!A$1:C$417, MATCH(A23,Precios!A$1:A$417,0),2),"-")</f>
        <v>-</v>
      </c>
      <c r="D23" s="331"/>
      <c r="E23" s="264">
        <v>1</v>
      </c>
      <c r="F23" s="267" t="str">
        <f>IFERROR(INDEX(Precios!A21:C435,MATCH(A23,Precios!A21:A435,0),3),"-")</f>
        <v>-</v>
      </c>
      <c r="G23" s="268" t="str">
        <f t="shared" si="1"/>
        <v>-</v>
      </c>
      <c r="I23" s="130"/>
      <c r="J23" s="130"/>
      <c r="K23" s="130"/>
    </row>
    <row r="24" spans="1:11" ht="13.5" thickBot="1" x14ac:dyDescent="0.25">
      <c r="A24" s="332"/>
      <c r="B24" s="333"/>
      <c r="C24" s="330" t="str">
        <f>IFERROR(INDEX(Precios!A$1:C$417, MATCH(A24,Precios!A$1:A$417,0),2),"-")</f>
        <v>-</v>
      </c>
      <c r="D24" s="331"/>
      <c r="E24" s="264">
        <v>1</v>
      </c>
      <c r="F24" s="267" t="str">
        <f>IFERROR(INDEX(Precios!A22:C436,MATCH(A24,Precios!A22:A436,0),3),"-")</f>
        <v>-</v>
      </c>
      <c r="G24" s="268" t="str">
        <f t="shared" si="1"/>
        <v>-</v>
      </c>
      <c r="I24" s="130"/>
      <c r="J24" s="130"/>
      <c r="K24" s="130"/>
    </row>
    <row r="25" spans="1:11" ht="13.5" thickBot="1" x14ac:dyDescent="0.25">
      <c r="A25" s="332"/>
      <c r="B25" s="333"/>
      <c r="C25" s="330" t="str">
        <f>IFERROR(INDEX(Precios!A$1:C$417, MATCH(A25,Precios!A$1:A$417,0),2),"-")</f>
        <v>-</v>
      </c>
      <c r="D25" s="331"/>
      <c r="E25" s="264">
        <v>1</v>
      </c>
      <c r="F25" s="267" t="str">
        <f>IFERROR(INDEX(Precios!A23:C437,MATCH(A25,Precios!A23:A437,0),3),"-")</f>
        <v>-</v>
      </c>
      <c r="G25" s="268" t="str">
        <f t="shared" si="1"/>
        <v>-</v>
      </c>
      <c r="I25" s="130"/>
      <c r="J25" s="130"/>
      <c r="K25" s="130"/>
    </row>
    <row r="26" spans="1:11" ht="13.5" thickBot="1" x14ac:dyDescent="0.25">
      <c r="A26" s="332"/>
      <c r="B26" s="333"/>
      <c r="C26" s="330" t="str">
        <f>IFERROR(INDEX(Precios!A$1:C$417, MATCH(A26,Precios!A$1:A$417,0),2),"-")</f>
        <v>-</v>
      </c>
      <c r="D26" s="331"/>
      <c r="E26" s="264">
        <v>1</v>
      </c>
      <c r="F26" s="267" t="str">
        <f>IFERROR(INDEX(Precios!A24:C438,MATCH(A26,Precios!A24:A438,0),3),"-")</f>
        <v>-</v>
      </c>
      <c r="G26" s="268" t="str">
        <f t="shared" si="1"/>
        <v>-</v>
      </c>
      <c r="I26" s="130"/>
      <c r="J26" s="130"/>
      <c r="K26" s="130"/>
    </row>
    <row r="27" spans="1:11" ht="13.5" thickBot="1" x14ac:dyDescent="0.25">
      <c r="A27" s="332"/>
      <c r="B27" s="333"/>
      <c r="C27" s="330" t="str">
        <f>IFERROR(INDEX(Precios!A$1:C$417, MATCH(A27,Precios!A$1:A$417,0),2),"-")</f>
        <v>-</v>
      </c>
      <c r="D27" s="331"/>
      <c r="E27" s="264">
        <v>1</v>
      </c>
      <c r="F27" s="267" t="str">
        <f>IFERROR(INDEX(Precios!A25:C439,MATCH(A27,Precios!A25:A439,0),3),"-")</f>
        <v>-</v>
      </c>
      <c r="G27" s="268" t="str">
        <f t="shared" si="1"/>
        <v>-</v>
      </c>
      <c r="I27" s="130"/>
      <c r="J27" s="130"/>
      <c r="K27" s="130"/>
    </row>
    <row r="28" spans="1:11" ht="13.5" thickBot="1" x14ac:dyDescent="0.25">
      <c r="A28" s="332"/>
      <c r="B28" s="333"/>
      <c r="C28" s="330" t="str">
        <f>IFERROR(INDEX(Precios!A$1:C$417, MATCH(A28,Precios!A$1:A$417,0),2),"-")</f>
        <v>-</v>
      </c>
      <c r="D28" s="331"/>
      <c r="E28" s="264">
        <v>1</v>
      </c>
      <c r="F28" s="267" t="str">
        <f>IFERROR(INDEX(Precios!A26:C440,MATCH(A28,Precios!A26:A440,0),3),"-")</f>
        <v>-</v>
      </c>
      <c r="G28" s="268" t="str">
        <f t="shared" si="1"/>
        <v>-</v>
      </c>
      <c r="I28" s="130"/>
      <c r="J28" s="130"/>
      <c r="K28" s="130"/>
    </row>
    <row r="29" spans="1:11" ht="13.5" thickBot="1" x14ac:dyDescent="0.25">
      <c r="A29" s="332"/>
      <c r="B29" s="333"/>
      <c r="C29" s="330" t="str">
        <f>IFERROR(INDEX(Precios!A$1:C$417, MATCH(A29,Precios!A$1:A$417,0),2),"-")</f>
        <v>-</v>
      </c>
      <c r="D29" s="331"/>
      <c r="E29" s="264">
        <v>1</v>
      </c>
      <c r="F29" s="267" t="str">
        <f>IFERROR(INDEX(Precios!A27:C441,MATCH(A29,Precios!A27:A441,0),3),"-")</f>
        <v>-</v>
      </c>
      <c r="G29" s="268" t="str">
        <f t="shared" si="1"/>
        <v>-</v>
      </c>
      <c r="I29" s="130"/>
      <c r="J29" s="130"/>
      <c r="K29" s="130"/>
    </row>
    <row r="30" spans="1:11" ht="13.5" thickBot="1" x14ac:dyDescent="0.25">
      <c r="A30" s="332"/>
      <c r="B30" s="333"/>
      <c r="C30" s="330" t="str">
        <f>IFERROR(INDEX(Precios!A$1:C$417, MATCH(A30,Precios!A$1:A$417,0),2),"-")</f>
        <v>-</v>
      </c>
      <c r="D30" s="331"/>
      <c r="E30" s="264">
        <v>1</v>
      </c>
      <c r="F30" s="267" t="str">
        <f>IFERROR(INDEX(Precios!A28:C442,MATCH(A30,Precios!A28:A442,0),3),"-")</f>
        <v>-</v>
      </c>
      <c r="G30" s="268" t="str">
        <f t="shared" si="1"/>
        <v>-</v>
      </c>
      <c r="I30" s="130"/>
      <c r="J30" s="130"/>
      <c r="K30" s="130"/>
    </row>
    <row r="31" spans="1:11" ht="13.5" thickBot="1" x14ac:dyDescent="0.25">
      <c r="A31" s="332"/>
      <c r="B31" s="333"/>
      <c r="C31" s="330" t="str">
        <f>IFERROR(INDEX(Precios!A$1:C$417, MATCH(A31,Precios!A$1:A$417,0),2),"-")</f>
        <v>-</v>
      </c>
      <c r="D31" s="331"/>
      <c r="E31" s="264">
        <v>1</v>
      </c>
      <c r="F31" s="267" t="str">
        <f>IFERROR(INDEX(Precios!A29:C443,MATCH(A31,Precios!A29:A443,0),3),"-")</f>
        <v>-</v>
      </c>
      <c r="G31" s="268" t="str">
        <f t="shared" si="1"/>
        <v>-</v>
      </c>
      <c r="I31" s="130"/>
      <c r="J31" s="130"/>
      <c r="K31" s="130"/>
    </row>
    <row r="32" spans="1:11" ht="13.5" thickBot="1" x14ac:dyDescent="0.25">
      <c r="A32" s="332"/>
      <c r="B32" s="333"/>
      <c r="C32" s="330" t="str">
        <f>IFERROR(INDEX(Precios!A$1:C$417, MATCH(A32,Precios!A$1:A$417,0),2),"-")</f>
        <v>-</v>
      </c>
      <c r="D32" s="331"/>
      <c r="E32" s="264">
        <v>1</v>
      </c>
      <c r="F32" s="267" t="str">
        <f>IFERROR(INDEX(Precios!A30:C444,MATCH(A32,Precios!A30:A444,0),3),"-")</f>
        <v>-</v>
      </c>
      <c r="G32" s="268" t="str">
        <f t="shared" si="1"/>
        <v>-</v>
      </c>
      <c r="I32" s="130"/>
      <c r="J32" s="130"/>
      <c r="K32" s="130"/>
    </row>
    <row r="33" spans="1:10" ht="13.5" thickBot="1" x14ac:dyDescent="0.25">
      <c r="A33" s="332"/>
      <c r="B33" s="333"/>
      <c r="C33" s="330" t="str">
        <f>IFERROR(INDEX(Precios!A$1:C$417, MATCH(A33,Precios!A$1:A$417,0),2),"-")</f>
        <v>-</v>
      </c>
      <c r="D33" s="331"/>
      <c r="E33" s="264">
        <v>1</v>
      </c>
      <c r="F33" s="267" t="str">
        <f>IFERROR(INDEX(Precios!A31:C445,MATCH(A33,Precios!A31:A445,0),3),"-")</f>
        <v>-</v>
      </c>
      <c r="G33" s="268" t="str">
        <f t="shared" si="1"/>
        <v>-</v>
      </c>
      <c r="J33" s="128"/>
    </row>
    <row r="34" spans="1:10" ht="13.5" thickBot="1" x14ac:dyDescent="0.25">
      <c r="A34" s="332"/>
      <c r="B34" s="333"/>
      <c r="C34" s="330" t="str">
        <f>IFERROR(INDEX(Precios!A$1:C$417, MATCH(A34,Precios!A$1:A$417,0),2),"-")</f>
        <v>-</v>
      </c>
      <c r="D34" s="331"/>
      <c r="E34" s="264">
        <v>1</v>
      </c>
      <c r="F34" s="267" t="str">
        <f>IFERROR(INDEX(Precios!A32:C446,MATCH(A34,Precios!A32:A446,0),3),"-")</f>
        <v>-</v>
      </c>
      <c r="G34" s="268" t="str">
        <f t="shared" si="1"/>
        <v>-</v>
      </c>
    </row>
    <row r="35" spans="1:10" ht="13.5" thickBot="1" x14ac:dyDescent="0.25">
      <c r="A35" s="332"/>
      <c r="B35" s="333"/>
      <c r="C35" s="330" t="str">
        <f>IFERROR(INDEX(Precios!A$1:C$417, MATCH(A35,Precios!A$1:A$417,0),2),"-")</f>
        <v>-</v>
      </c>
      <c r="D35" s="331"/>
      <c r="E35" s="264">
        <v>1</v>
      </c>
      <c r="F35" s="267" t="str">
        <f>IFERROR(INDEX(Precios!A33:C447,MATCH(A35,Precios!A33:A447,0),3),"-")</f>
        <v>-</v>
      </c>
      <c r="G35" s="268" t="str">
        <f t="shared" si="1"/>
        <v>-</v>
      </c>
    </row>
    <row r="36" spans="1:10" ht="13.5" thickBot="1" x14ac:dyDescent="0.25">
      <c r="A36" s="332"/>
      <c r="B36" s="333"/>
      <c r="C36" s="330" t="str">
        <f>IFERROR(INDEX(Precios!A$1:C$417, MATCH(A36,Precios!A$1:A$417,0),2),"-")</f>
        <v>-</v>
      </c>
      <c r="D36" s="331"/>
      <c r="E36" s="264">
        <v>1</v>
      </c>
      <c r="F36" s="267" t="str">
        <f>IFERROR(INDEX(Precios!A34:C448,MATCH(A36,Precios!A34:A448,0),3),"-")</f>
        <v>-</v>
      </c>
      <c r="G36" s="268" t="str">
        <f t="shared" si="1"/>
        <v>-</v>
      </c>
    </row>
    <row r="37" spans="1:10" ht="13.5" thickBot="1" x14ac:dyDescent="0.25">
      <c r="A37" s="332"/>
      <c r="B37" s="333"/>
      <c r="C37" s="330" t="str">
        <f>IFERROR(INDEX(Precios!A$1:C$417, MATCH(A37,Precios!A$1:A$417,0),2),"-")</f>
        <v>-</v>
      </c>
      <c r="D37" s="331"/>
      <c r="E37" s="264">
        <v>1</v>
      </c>
      <c r="F37" s="267" t="str">
        <f>IFERROR(INDEX(Precios!A35:C449,MATCH(A37,Precios!A35:A449,0),3),"-")</f>
        <v>-</v>
      </c>
      <c r="G37" s="268" t="str">
        <f t="shared" si="1"/>
        <v>-</v>
      </c>
    </row>
    <row r="38" spans="1:10" ht="13.5" thickBot="1" x14ac:dyDescent="0.25">
      <c r="A38" s="332"/>
      <c r="B38" s="333"/>
      <c r="C38" s="330" t="str">
        <f>IFERROR(INDEX(Precios!A$1:C$417, MATCH(A38,Precios!A$1:A$417,0),2),"-")</f>
        <v>-</v>
      </c>
      <c r="D38" s="331"/>
      <c r="E38" s="264">
        <v>1</v>
      </c>
      <c r="F38" s="267" t="str">
        <f>IFERROR(INDEX(Precios!A36:C450,MATCH(A38,Precios!A36:A450,0),3),"-")</f>
        <v>-</v>
      </c>
      <c r="G38" s="268" t="str">
        <f t="shared" si="1"/>
        <v>-</v>
      </c>
    </row>
    <row r="39" spans="1:10" ht="13.5" thickBot="1" x14ac:dyDescent="0.25">
      <c r="A39" s="332"/>
      <c r="B39" s="333"/>
      <c r="C39" s="330" t="str">
        <f>IFERROR(INDEX(Precios!A$1:C$417, MATCH(A39,Precios!A$1:A$417,0),2),"-")</f>
        <v>-</v>
      </c>
      <c r="D39" s="331"/>
      <c r="E39" s="264">
        <v>1</v>
      </c>
      <c r="F39" s="267" t="str">
        <f>IFERROR(INDEX(Precios!A37:C451,MATCH(A39,Precios!A37:A451,0),3),"-")</f>
        <v>-</v>
      </c>
      <c r="G39" s="268" t="str">
        <f t="shared" ref="G39" si="2">IFERROR(+F39*E39,"-")</f>
        <v>-</v>
      </c>
    </row>
    <row r="40" spans="1:10" ht="13.5" thickBot="1" x14ac:dyDescent="0.25">
      <c r="A40" s="61"/>
      <c r="B40" s="62"/>
      <c r="C40" s="63"/>
      <c r="D40" s="63"/>
      <c r="E40" s="64" t="s">
        <v>4</v>
      </c>
      <c r="F40" s="65"/>
      <c r="G40" s="66">
        <f>_xlfn.AGGREGATE(9,6,G5:G39)</f>
        <v>0</v>
      </c>
    </row>
    <row r="41" spans="1:10" ht="13.5" thickBot="1" x14ac:dyDescent="0.25">
      <c r="A41" s="67"/>
      <c r="B41" s="68"/>
      <c r="C41" s="67"/>
      <c r="D41" s="67"/>
      <c r="E41" s="67"/>
      <c r="F41" s="67"/>
      <c r="G41" s="67"/>
      <c r="H41" s="67"/>
      <c r="I41" s="67"/>
    </row>
    <row r="42" spans="1:10" ht="36.75" thickBot="1" x14ac:dyDescent="0.25">
      <c r="A42" s="69" t="s">
        <v>129</v>
      </c>
      <c r="B42" s="70" t="s">
        <v>131</v>
      </c>
      <c r="C42" s="69" t="s">
        <v>130</v>
      </c>
      <c r="D42" s="71" t="s">
        <v>149</v>
      </c>
      <c r="E42" s="69" t="s">
        <v>139</v>
      </c>
      <c r="F42" s="72" t="s">
        <v>140</v>
      </c>
      <c r="G42" s="73" t="s">
        <v>138</v>
      </c>
      <c r="J42" s="127"/>
    </row>
    <row r="43" spans="1:10" ht="13.5" thickBot="1" x14ac:dyDescent="0.25">
      <c r="A43" s="74" t="s">
        <v>723</v>
      </c>
      <c r="B43" s="59">
        <f t="shared" ref="B43:B48" si="3">+E87</f>
        <v>16300</v>
      </c>
      <c r="C43" s="75">
        <v>5</v>
      </c>
      <c r="D43" s="76">
        <f t="shared" ref="D43:D50" si="4">+B43*C43</f>
        <v>81500</v>
      </c>
      <c r="E43" s="77">
        <f t="shared" ref="E43:E51" si="5">+B43*10</f>
        <v>163000</v>
      </c>
      <c r="F43" s="78">
        <v>0</v>
      </c>
      <c r="G43" s="59">
        <f t="shared" ref="G43:G50" si="6">D43</f>
        <v>81500</v>
      </c>
    </row>
    <row r="44" spans="1:10" ht="13.5" thickBot="1" x14ac:dyDescent="0.25">
      <c r="A44" s="74" t="s">
        <v>516</v>
      </c>
      <c r="B44" s="59">
        <v>21900</v>
      </c>
      <c r="C44" s="75">
        <v>0</v>
      </c>
      <c r="D44" s="76">
        <f t="shared" si="4"/>
        <v>0</v>
      </c>
      <c r="E44" s="77">
        <f t="shared" si="5"/>
        <v>219000</v>
      </c>
      <c r="F44" s="78">
        <v>0</v>
      </c>
      <c r="G44" s="59">
        <f t="shared" si="6"/>
        <v>0</v>
      </c>
    </row>
    <row r="45" spans="1:10" ht="13.5" thickBot="1" x14ac:dyDescent="0.25">
      <c r="A45" s="74" t="s">
        <v>724</v>
      </c>
      <c r="B45" s="59">
        <v>20800</v>
      </c>
      <c r="C45" s="75">
        <v>0</v>
      </c>
      <c r="D45" s="76">
        <f t="shared" si="4"/>
        <v>0</v>
      </c>
      <c r="E45" s="77">
        <f t="shared" si="5"/>
        <v>208000</v>
      </c>
      <c r="F45" s="78">
        <v>0</v>
      </c>
      <c r="G45" s="59">
        <f t="shared" si="6"/>
        <v>0</v>
      </c>
    </row>
    <row r="46" spans="1:10" ht="13.5" thickBot="1" x14ac:dyDescent="0.25">
      <c r="A46" s="74" t="s">
        <v>128</v>
      </c>
      <c r="B46" s="59">
        <f t="shared" si="3"/>
        <v>16300</v>
      </c>
      <c r="C46" s="75">
        <v>0</v>
      </c>
      <c r="D46" s="76">
        <f t="shared" si="4"/>
        <v>0</v>
      </c>
      <c r="E46" s="77">
        <f t="shared" si="5"/>
        <v>163000</v>
      </c>
      <c r="F46" s="78">
        <v>0</v>
      </c>
      <c r="G46" s="59">
        <f t="shared" si="6"/>
        <v>0</v>
      </c>
    </row>
    <row r="47" spans="1:10" ht="13.5" thickBot="1" x14ac:dyDescent="0.25">
      <c r="A47" s="74" t="s">
        <v>128</v>
      </c>
      <c r="B47" s="59">
        <f t="shared" si="3"/>
        <v>16300</v>
      </c>
      <c r="C47" s="75">
        <v>0</v>
      </c>
      <c r="D47" s="76">
        <f t="shared" si="4"/>
        <v>0</v>
      </c>
      <c r="E47" s="77">
        <f t="shared" si="5"/>
        <v>163000</v>
      </c>
      <c r="F47" s="78">
        <v>0</v>
      </c>
      <c r="G47" s="59">
        <f t="shared" si="6"/>
        <v>0</v>
      </c>
    </row>
    <row r="48" spans="1:10" ht="13.5" thickBot="1" x14ac:dyDescent="0.25">
      <c r="A48" s="74" t="s">
        <v>669</v>
      </c>
      <c r="B48" s="59">
        <f t="shared" si="3"/>
        <v>21000</v>
      </c>
      <c r="C48" s="75">
        <v>0</v>
      </c>
      <c r="D48" s="76">
        <f t="shared" si="4"/>
        <v>0</v>
      </c>
      <c r="E48" s="77">
        <f t="shared" si="5"/>
        <v>210000</v>
      </c>
      <c r="F48" s="78">
        <v>0</v>
      </c>
      <c r="G48" s="59">
        <f t="shared" si="6"/>
        <v>0</v>
      </c>
    </row>
    <row r="49" spans="1:9" ht="13.5" thickBot="1" x14ac:dyDescent="0.25">
      <c r="A49" s="74" t="s">
        <v>694</v>
      </c>
      <c r="B49" s="59">
        <f>+E93</f>
        <v>29000</v>
      </c>
      <c r="C49" s="75">
        <v>0</v>
      </c>
      <c r="D49" s="76">
        <f t="shared" si="4"/>
        <v>0</v>
      </c>
      <c r="E49" s="77">
        <f t="shared" si="5"/>
        <v>290000</v>
      </c>
      <c r="F49" s="78">
        <v>0</v>
      </c>
      <c r="G49" s="59">
        <f t="shared" si="6"/>
        <v>0</v>
      </c>
    </row>
    <row r="50" spans="1:9" ht="13.5" thickBot="1" x14ac:dyDescent="0.25">
      <c r="A50" s="74" t="s">
        <v>671</v>
      </c>
      <c r="B50" s="59">
        <f>+E92</f>
        <v>21000</v>
      </c>
      <c r="C50" s="75">
        <v>0</v>
      </c>
      <c r="D50" s="76">
        <f t="shared" si="4"/>
        <v>0</v>
      </c>
      <c r="E50" s="77">
        <f t="shared" si="5"/>
        <v>210000</v>
      </c>
      <c r="F50" s="78">
        <v>0</v>
      </c>
      <c r="G50" s="59">
        <f t="shared" si="6"/>
        <v>0</v>
      </c>
    </row>
    <row r="51" spans="1:9" ht="13.5" thickBot="1" x14ac:dyDescent="0.25">
      <c r="A51" s="74"/>
      <c r="B51" s="59"/>
      <c r="C51" s="60"/>
      <c r="D51" s="60"/>
      <c r="E51" s="77">
        <f t="shared" si="5"/>
        <v>0</v>
      </c>
      <c r="F51" s="80"/>
      <c r="G51" s="59"/>
    </row>
    <row r="52" spans="1:9" ht="13.5" thickBot="1" x14ac:dyDescent="0.25">
      <c r="A52" s="81"/>
      <c r="B52" s="82"/>
      <c r="C52" s="82"/>
      <c r="D52" s="83"/>
      <c r="E52" s="84" t="s">
        <v>132</v>
      </c>
      <c r="F52" s="84"/>
      <c r="G52" s="85">
        <f>SUM(G43:G51)</f>
        <v>81500</v>
      </c>
      <c r="I52" s="129"/>
    </row>
    <row r="53" spans="1:9" x14ac:dyDescent="0.2">
      <c r="A53" s="168"/>
      <c r="B53" s="168"/>
      <c r="C53" s="168"/>
      <c r="D53" s="169"/>
      <c r="E53" s="170"/>
      <c r="F53" s="170"/>
      <c r="G53" s="171"/>
      <c r="I53" s="129"/>
    </row>
    <row r="54" spans="1:9" ht="13.5" thickBot="1" x14ac:dyDescent="0.25">
      <c r="A54" s="166" t="s">
        <v>459</v>
      </c>
      <c r="B54" s="167" t="s">
        <v>276</v>
      </c>
      <c r="C54" s="166" t="s">
        <v>277</v>
      </c>
      <c r="D54" s="166" t="s">
        <v>278</v>
      </c>
      <c r="E54" s="166" t="s">
        <v>279</v>
      </c>
      <c r="F54" s="170"/>
      <c r="G54" s="171"/>
      <c r="I54" s="129"/>
    </row>
    <row r="55" spans="1:9" ht="13.5" thickBot="1" x14ac:dyDescent="0.25">
      <c r="A55" s="162" t="s">
        <v>280</v>
      </c>
      <c r="B55" s="163">
        <v>13000</v>
      </c>
      <c r="C55" s="164">
        <v>0</v>
      </c>
      <c r="D55" s="94">
        <v>0</v>
      </c>
      <c r="E55" s="165">
        <f>B55*C55+D55</f>
        <v>0</v>
      </c>
      <c r="F55" s="170"/>
      <c r="G55" s="171"/>
      <c r="I55" s="129"/>
    </row>
    <row r="56" spans="1:9" ht="13.5" thickBot="1" x14ac:dyDescent="0.25">
      <c r="A56" s="162" t="s">
        <v>275</v>
      </c>
      <c r="B56" s="163">
        <v>15500</v>
      </c>
      <c r="C56" s="164">
        <v>0</v>
      </c>
      <c r="D56" s="94">
        <v>0</v>
      </c>
      <c r="E56" s="165">
        <f>B56*C56+D56</f>
        <v>0</v>
      </c>
      <c r="F56" s="170"/>
      <c r="G56" s="171"/>
      <c r="I56" s="129"/>
    </row>
    <row r="57" spans="1:9" ht="13.5" thickBot="1" x14ac:dyDescent="0.25">
      <c r="A57" s="162" t="s">
        <v>281</v>
      </c>
      <c r="B57" s="163">
        <v>18200</v>
      </c>
      <c r="C57" s="164">
        <v>0</v>
      </c>
      <c r="D57" s="94">
        <v>0</v>
      </c>
      <c r="E57" s="165">
        <f>B57*C57+D57</f>
        <v>0</v>
      </c>
      <c r="F57" s="170"/>
      <c r="G57" s="171"/>
      <c r="I57" s="129"/>
    </row>
    <row r="58" spans="1:9" ht="13.5" thickBot="1" x14ac:dyDescent="0.25">
      <c r="A58" s="58" t="s">
        <v>128</v>
      </c>
      <c r="C58" s="58" t="s">
        <v>128</v>
      </c>
      <c r="D58" s="58" t="s">
        <v>128</v>
      </c>
      <c r="F58" s="86"/>
      <c r="G58" s="86"/>
      <c r="H58" s="86"/>
      <c r="I58" s="86"/>
    </row>
    <row r="59" spans="1:9" ht="13.5" thickBot="1" x14ac:dyDescent="0.25">
      <c r="A59" s="345" t="s">
        <v>538</v>
      </c>
      <c r="B59" s="346"/>
      <c r="C59" s="346"/>
      <c r="D59" s="346"/>
      <c r="E59" s="346"/>
      <c r="F59" s="347"/>
      <c r="G59" s="347"/>
      <c r="H59" s="347"/>
      <c r="I59" s="347"/>
    </row>
    <row r="60" spans="1:9" ht="13.5" thickBot="1" x14ac:dyDescent="0.25">
      <c r="A60" s="88" t="s">
        <v>133</v>
      </c>
      <c r="B60" s="89"/>
      <c r="C60" s="90"/>
      <c r="D60" s="91"/>
      <c r="E60" s="92"/>
      <c r="F60" s="92" t="s">
        <v>9</v>
      </c>
      <c r="G60" s="93">
        <v>0</v>
      </c>
      <c r="H60" s="94">
        <v>25000</v>
      </c>
      <c r="I60" s="93">
        <f>+G60*H60</f>
        <v>0</v>
      </c>
    </row>
    <row r="61" spans="1:9" ht="13.5" thickBot="1" x14ac:dyDescent="0.25">
      <c r="A61" s="88" t="s">
        <v>122</v>
      </c>
      <c r="B61" s="89"/>
      <c r="C61" s="90"/>
      <c r="D61" s="91"/>
      <c r="E61" s="92"/>
      <c r="F61" s="92" t="s">
        <v>9</v>
      </c>
      <c r="G61" s="93">
        <v>2</v>
      </c>
      <c r="H61" s="94">
        <v>17000</v>
      </c>
      <c r="I61" s="93">
        <f>+G61*H61</f>
        <v>34000</v>
      </c>
    </row>
    <row r="62" spans="1:9" ht="13.5" hidden="1" thickBot="1" x14ac:dyDescent="0.25">
      <c r="A62" s="88" t="s">
        <v>141</v>
      </c>
      <c r="B62" s="89"/>
      <c r="C62" s="90"/>
      <c r="D62" s="91"/>
      <c r="E62" s="92"/>
      <c r="F62" s="92" t="s">
        <v>134</v>
      </c>
      <c r="G62" s="93">
        <v>0</v>
      </c>
      <c r="H62" s="94">
        <v>0</v>
      </c>
      <c r="I62" s="93">
        <f>+G62*H62</f>
        <v>0</v>
      </c>
    </row>
    <row r="63" spans="1:9" ht="13.5" hidden="1" thickBot="1" x14ac:dyDescent="0.25">
      <c r="A63" s="88" t="s">
        <v>142</v>
      </c>
      <c r="B63" s="89"/>
      <c r="C63" s="90"/>
      <c r="D63" s="91"/>
      <c r="E63" s="92"/>
      <c r="F63" s="92" t="s">
        <v>134</v>
      </c>
      <c r="G63" s="93">
        <v>0</v>
      </c>
      <c r="H63" s="94">
        <v>0</v>
      </c>
      <c r="I63" s="93">
        <f>+G63*H63</f>
        <v>0</v>
      </c>
    </row>
    <row r="64" spans="1:9" ht="13.5" hidden="1" thickBot="1" x14ac:dyDescent="0.25">
      <c r="A64" s="88" t="s">
        <v>146</v>
      </c>
      <c r="B64" s="89"/>
      <c r="C64" s="90"/>
      <c r="D64" s="91"/>
      <c r="E64" s="92"/>
      <c r="F64" s="92" t="s">
        <v>147</v>
      </c>
      <c r="G64" s="95">
        <v>0</v>
      </c>
      <c r="H64" s="79">
        <f>+E94*1.35</f>
        <v>44550</v>
      </c>
      <c r="I64" s="93">
        <f>+G64*H64</f>
        <v>0</v>
      </c>
    </row>
    <row r="65" spans="1:11" ht="13.5" thickBot="1" x14ac:dyDescent="0.25">
      <c r="A65" s="61"/>
      <c r="B65" s="96"/>
      <c r="C65" s="97"/>
      <c r="D65" s="97"/>
      <c r="E65" s="96"/>
      <c r="F65" s="98"/>
      <c r="G65" s="98"/>
      <c r="H65" s="98"/>
      <c r="I65" s="99">
        <f>SUM(I60:I64)</f>
        <v>34000</v>
      </c>
      <c r="K65" s="129"/>
    </row>
    <row r="66" spans="1:11" x14ac:dyDescent="0.2">
      <c r="A66" s="86"/>
      <c r="B66" s="87"/>
      <c r="C66" s="86"/>
      <c r="D66" s="86"/>
      <c r="E66" s="86"/>
      <c r="F66" s="86"/>
      <c r="G66" s="86"/>
      <c r="H66" s="86"/>
      <c r="I66" s="86"/>
    </row>
    <row r="67" spans="1:11" ht="13.5" thickBot="1" x14ac:dyDescent="0.25">
      <c r="A67" s="86"/>
      <c r="B67" s="87"/>
      <c r="C67" s="86"/>
      <c r="D67" s="86"/>
      <c r="E67" s="86"/>
      <c r="F67" s="86"/>
      <c r="G67" s="86" t="s">
        <v>128</v>
      </c>
      <c r="H67" s="86"/>
      <c r="I67" s="86"/>
    </row>
    <row r="68" spans="1:11" ht="13.5" thickBot="1" x14ac:dyDescent="0.25">
      <c r="A68" s="100" t="s">
        <v>135</v>
      </c>
      <c r="B68" s="101"/>
      <c r="C68" s="101"/>
      <c r="D68" s="101"/>
      <c r="E68" s="101"/>
      <c r="F68" s="101"/>
      <c r="G68" s="102"/>
      <c r="H68" s="103"/>
    </row>
    <row r="69" spans="1:11" ht="13.5" thickBot="1" x14ac:dyDescent="0.25">
      <c r="A69" s="100" t="s">
        <v>0</v>
      </c>
      <c r="B69" s="101"/>
      <c r="C69" s="101"/>
      <c r="D69" s="101"/>
      <c r="E69" s="103"/>
      <c r="F69" s="104" t="s">
        <v>3</v>
      </c>
      <c r="G69" s="137" t="s">
        <v>1</v>
      </c>
      <c r="H69" s="105" t="s">
        <v>120</v>
      </c>
    </row>
    <row r="70" spans="1:11" ht="13.5" thickBot="1" x14ac:dyDescent="0.25">
      <c r="A70" s="88" t="s">
        <v>5</v>
      </c>
      <c r="B70" s="106"/>
      <c r="C70" s="106"/>
      <c r="D70" s="106"/>
      <c r="E70" s="106"/>
      <c r="F70" s="133"/>
      <c r="G70" s="135">
        <v>0</v>
      </c>
      <c r="H70" s="60">
        <f>G70*F70</f>
        <v>0</v>
      </c>
    </row>
    <row r="71" spans="1:11" ht="13.5" thickBot="1" x14ac:dyDescent="0.25">
      <c r="A71" s="88" t="s">
        <v>143</v>
      </c>
      <c r="B71" s="106"/>
      <c r="C71" s="106"/>
      <c r="D71" s="106"/>
      <c r="E71" s="106"/>
      <c r="F71" s="133"/>
      <c r="G71" s="135"/>
      <c r="H71" s="60">
        <f>+F71*G71</f>
        <v>0</v>
      </c>
    </row>
    <row r="72" spans="1:11" ht="13.5" thickBot="1" x14ac:dyDescent="0.25">
      <c r="A72" s="88" t="s">
        <v>6</v>
      </c>
      <c r="B72" s="89"/>
      <c r="C72" s="90"/>
      <c r="D72" s="91"/>
      <c r="E72" s="107"/>
      <c r="F72" s="134"/>
      <c r="G72" s="136">
        <v>0</v>
      </c>
      <c r="H72" s="136">
        <f>G72*F72</f>
        <v>0</v>
      </c>
    </row>
    <row r="73" spans="1:11" ht="13.5" thickBot="1" x14ac:dyDescent="0.25">
      <c r="A73" s="88" t="s">
        <v>7</v>
      </c>
      <c r="B73" s="89"/>
      <c r="C73" s="90"/>
      <c r="D73" s="91"/>
      <c r="E73" s="107"/>
      <c r="F73" s="134"/>
      <c r="G73" s="136"/>
      <c r="H73" s="136">
        <f>+F73*G73</f>
        <v>0</v>
      </c>
    </row>
    <row r="74" spans="1:11" ht="13.5" thickBot="1" x14ac:dyDescent="0.25">
      <c r="A74" s="88" t="s">
        <v>119</v>
      </c>
      <c r="B74" s="89"/>
      <c r="C74" s="90"/>
      <c r="D74" s="350"/>
      <c r="E74" s="350"/>
      <c r="F74" s="133"/>
      <c r="G74" s="93"/>
      <c r="H74" s="60">
        <f>+F74*G74</f>
        <v>0</v>
      </c>
    </row>
    <row r="75" spans="1:11" ht="13.5" thickBot="1" x14ac:dyDescent="0.25">
      <c r="A75" s="88" t="s">
        <v>712</v>
      </c>
      <c r="B75" s="89"/>
      <c r="C75" s="90"/>
      <c r="D75" s="91"/>
      <c r="E75" s="107"/>
      <c r="F75" s="134"/>
      <c r="G75" s="135">
        <v>0</v>
      </c>
      <c r="H75" s="60">
        <f>+F75*G75</f>
        <v>0</v>
      </c>
    </row>
    <row r="76" spans="1:11" ht="13.5" thickBot="1" x14ac:dyDescent="0.25">
      <c r="A76" s="108"/>
      <c r="B76" s="109"/>
      <c r="C76" s="110"/>
      <c r="D76" s="110"/>
      <c r="E76" s="111" t="s">
        <v>121</v>
      </c>
      <c r="F76" s="112"/>
      <c r="G76" s="113"/>
      <c r="H76" s="114">
        <f>SUM(H70:H75)</f>
        <v>0</v>
      </c>
    </row>
    <row r="77" spans="1:11" x14ac:dyDescent="0.2">
      <c r="A77" s="115"/>
      <c r="B77" s="116"/>
      <c r="C77" s="115"/>
      <c r="D77" s="115"/>
      <c r="E77" s="116"/>
      <c r="F77" s="117"/>
      <c r="G77" s="118"/>
      <c r="H77" s="118"/>
      <c r="I77" s="119"/>
    </row>
    <row r="78" spans="1:11" x14ac:dyDescent="0.2">
      <c r="A78" s="115"/>
      <c r="B78" s="116"/>
      <c r="C78" s="115"/>
      <c r="D78" s="115"/>
      <c r="E78" s="341" t="s">
        <v>144</v>
      </c>
      <c r="F78" s="341"/>
      <c r="G78" s="341"/>
      <c r="H78" s="348">
        <f>+H76+I65+G52+E55+E56+E57+G40</f>
        <v>115500</v>
      </c>
      <c r="I78" s="349"/>
    </row>
    <row r="79" spans="1:11" ht="13.5" thickBot="1" x14ac:dyDescent="0.25">
      <c r="A79" s="115"/>
      <c r="B79" s="116"/>
      <c r="C79" s="115"/>
      <c r="D79" s="115"/>
      <c r="E79" s="355" t="s">
        <v>619</v>
      </c>
      <c r="F79" s="356"/>
      <c r="G79" s="357"/>
      <c r="H79" s="358">
        <f>H78*0.05</f>
        <v>5775</v>
      </c>
      <c r="I79" s="359"/>
    </row>
    <row r="80" spans="1:11" ht="13.5" thickBot="1" x14ac:dyDescent="0.25">
      <c r="A80" s="120"/>
      <c r="B80" s="121"/>
      <c r="C80" s="122"/>
      <c r="D80" s="123">
        <v>0.5</v>
      </c>
      <c r="E80" s="124" t="s">
        <v>123</v>
      </c>
      <c r="F80" s="124"/>
      <c r="G80" s="125"/>
      <c r="H80" s="351">
        <f>+H78*D80</f>
        <v>57750</v>
      </c>
      <c r="I80" s="352"/>
    </row>
    <row r="81" spans="1:11" x14ac:dyDescent="0.2">
      <c r="A81" s="115"/>
      <c r="B81" s="116"/>
      <c r="C81" s="115"/>
      <c r="D81" s="115"/>
      <c r="E81" s="341" t="s">
        <v>145</v>
      </c>
      <c r="F81" s="341"/>
      <c r="G81" s="341"/>
      <c r="H81" s="353">
        <f>SUM(H78:I80)</f>
        <v>179025</v>
      </c>
      <c r="I81" s="354"/>
      <c r="K81" s="126"/>
    </row>
    <row r="82" spans="1:11" x14ac:dyDescent="0.2">
      <c r="A82" s="86"/>
      <c r="B82" s="87"/>
      <c r="C82" s="86"/>
      <c r="D82" s="86"/>
      <c r="E82" s="342" t="s">
        <v>8</v>
      </c>
      <c r="F82" s="342"/>
      <c r="G82" s="342"/>
      <c r="H82" s="343">
        <f>+H81*19% +H81</f>
        <v>213039.75</v>
      </c>
      <c r="I82" s="344"/>
      <c r="K82" s="126"/>
    </row>
    <row r="83" spans="1:11" x14ac:dyDescent="0.2">
      <c r="A83" s="86"/>
      <c r="B83" s="87"/>
      <c r="C83" s="86"/>
      <c r="D83" s="86"/>
      <c r="E83" s="86"/>
      <c r="F83" s="86"/>
      <c r="G83" s="86"/>
      <c r="H83" s="86"/>
      <c r="I83" s="86"/>
    </row>
    <row r="84" spans="1:11" ht="13.5" thickBot="1" x14ac:dyDescent="0.25">
      <c r="C84" s="58" t="s">
        <v>128</v>
      </c>
      <c r="D84" s="55"/>
      <c r="E84" s="55"/>
      <c r="F84" s="55"/>
      <c r="G84" s="55"/>
      <c r="H84" s="55"/>
      <c r="I84" s="55"/>
    </row>
    <row r="85" spans="1:11" ht="13.5" thickBot="1" x14ac:dyDescent="0.25">
      <c r="A85" s="138"/>
      <c r="B85" s="140"/>
      <c r="C85" s="141"/>
      <c r="D85" s="143" t="s">
        <v>125</v>
      </c>
      <c r="E85" s="145" t="s">
        <v>124</v>
      </c>
      <c r="F85" s="55"/>
      <c r="G85" s="55"/>
      <c r="H85" s="56"/>
      <c r="I85" s="155" t="s">
        <v>128</v>
      </c>
      <c r="J85" s="161"/>
    </row>
    <row r="86" spans="1:11" ht="13.5" thickBot="1" x14ac:dyDescent="0.25">
      <c r="A86" s="142" t="s">
        <v>136</v>
      </c>
      <c r="B86" s="142" t="s">
        <v>127</v>
      </c>
      <c r="C86" s="142" t="s">
        <v>137</v>
      </c>
      <c r="D86" s="148">
        <v>0.57410000000000005</v>
      </c>
      <c r="E86" s="146" t="s">
        <v>126</v>
      </c>
      <c r="F86" s="55"/>
      <c r="G86" s="55"/>
      <c r="H86" s="86"/>
      <c r="J86" s="161"/>
    </row>
    <row r="87" spans="1:11" ht="13.5" thickBot="1" x14ac:dyDescent="0.25">
      <c r="A87" s="74" t="s">
        <v>425</v>
      </c>
      <c r="B87" s="159"/>
      <c r="C87" s="147"/>
      <c r="D87" s="147"/>
      <c r="E87" s="144">
        <v>16300</v>
      </c>
      <c r="F87" s="55"/>
      <c r="G87" s="55"/>
      <c r="H87" s="86"/>
      <c r="I87" s="86"/>
    </row>
    <row r="88" spans="1:11" ht="13.5" thickBot="1" x14ac:dyDescent="0.25">
      <c r="A88" s="74" t="s">
        <v>150</v>
      </c>
      <c r="B88" s="160"/>
      <c r="C88" s="57"/>
      <c r="D88" s="57"/>
      <c r="E88" s="144">
        <v>16300</v>
      </c>
      <c r="F88" s="55"/>
      <c r="G88" s="55"/>
      <c r="H88" s="132"/>
      <c r="I88" s="86"/>
    </row>
    <row r="89" spans="1:11" ht="13.5" thickBot="1" x14ac:dyDescent="0.25">
      <c r="A89" s="74" t="s">
        <v>695</v>
      </c>
      <c r="B89" s="160"/>
      <c r="C89" s="57"/>
      <c r="D89" s="57"/>
      <c r="E89" s="144">
        <v>16300</v>
      </c>
      <c r="F89" s="55"/>
      <c r="G89" s="55"/>
      <c r="H89" s="86"/>
      <c r="I89" s="86"/>
    </row>
    <row r="90" spans="1:11" ht="13.5" thickBot="1" x14ac:dyDescent="0.25">
      <c r="A90" s="74" t="s">
        <v>582</v>
      </c>
      <c r="B90" s="160"/>
      <c r="C90" s="57"/>
      <c r="D90" s="57"/>
      <c r="E90" s="144">
        <v>16300</v>
      </c>
      <c r="F90" s="55"/>
      <c r="G90" s="55"/>
      <c r="H90" s="86"/>
      <c r="I90" s="86"/>
    </row>
    <row r="91" spans="1:11" ht="13.5" thickBot="1" x14ac:dyDescent="0.25">
      <c r="A91" s="74" t="s">
        <v>274</v>
      </c>
      <c r="B91" s="160"/>
      <c r="C91" s="57"/>
      <c r="D91" s="57"/>
      <c r="E91" s="144">
        <v>16300</v>
      </c>
      <c r="F91" s="55"/>
      <c r="G91" s="55"/>
      <c r="H91" s="132"/>
      <c r="I91" s="86"/>
    </row>
    <row r="92" spans="1:11" x14ac:dyDescent="0.2">
      <c r="A92" s="139" t="s">
        <v>697</v>
      </c>
      <c r="B92" s="160"/>
      <c r="C92" s="57"/>
      <c r="D92" s="57"/>
      <c r="E92" s="144">
        <v>21000</v>
      </c>
      <c r="F92" s="55"/>
      <c r="G92" s="55"/>
      <c r="H92" s="86"/>
      <c r="I92" s="86"/>
    </row>
    <row r="93" spans="1:11" x14ac:dyDescent="0.2">
      <c r="A93" s="139" t="s">
        <v>696</v>
      </c>
      <c r="B93" s="160"/>
      <c r="C93" s="57"/>
      <c r="D93" s="57"/>
      <c r="E93" s="144">
        <v>29000</v>
      </c>
      <c r="F93" s="55"/>
      <c r="G93" s="55"/>
      <c r="H93" s="86"/>
      <c r="I93" s="86"/>
    </row>
    <row r="94" spans="1:11" x14ac:dyDescent="0.2">
      <c r="A94" s="139" t="s">
        <v>671</v>
      </c>
      <c r="B94" s="160"/>
      <c r="C94" s="57"/>
      <c r="D94" s="57"/>
      <c r="E94" s="144">
        <v>33000</v>
      </c>
      <c r="F94" s="55"/>
      <c r="G94" s="55"/>
      <c r="H94" s="86"/>
      <c r="I94" s="86"/>
    </row>
    <row r="95" spans="1:11" ht="15.75" x14ac:dyDescent="0.2">
      <c r="I95" s="156"/>
    </row>
    <row r="98" spans="5:5" x14ac:dyDescent="0.2">
      <c r="E98" s="58" t="s">
        <v>128</v>
      </c>
    </row>
    <row r="99" spans="5:5" x14ac:dyDescent="0.2">
      <c r="E99" s="58" t="s">
        <v>128</v>
      </c>
    </row>
    <row r="100" spans="5:5" x14ac:dyDescent="0.2">
      <c r="E100" s="58" t="s">
        <v>128</v>
      </c>
    </row>
  </sheetData>
  <sortState xmlns:xlrd2="http://schemas.microsoft.com/office/spreadsheetml/2017/richdata2" ref="A43:A50">
    <sortCondition ref="A43:A50"/>
  </sortState>
  <mergeCells count="84">
    <mergeCell ref="A32:B32"/>
    <mergeCell ref="A12:B12"/>
    <mergeCell ref="A20:B20"/>
    <mergeCell ref="A28:B28"/>
    <mergeCell ref="A10:B10"/>
    <mergeCell ref="A16:B16"/>
    <mergeCell ref="A24:B24"/>
    <mergeCell ref="A25:B25"/>
    <mergeCell ref="A23:B23"/>
    <mergeCell ref="A19:B19"/>
    <mergeCell ref="A22:B22"/>
    <mergeCell ref="A21:B21"/>
    <mergeCell ref="A29:B29"/>
    <mergeCell ref="A30:B30"/>
    <mergeCell ref="A31:B31"/>
    <mergeCell ref="A15:B15"/>
    <mergeCell ref="A38:B38"/>
    <mergeCell ref="A33:B33"/>
    <mergeCell ref="A34:B34"/>
    <mergeCell ref="A35:B35"/>
    <mergeCell ref="A36:B36"/>
    <mergeCell ref="A37:B37"/>
    <mergeCell ref="E81:G81"/>
    <mergeCell ref="E82:G82"/>
    <mergeCell ref="H82:I82"/>
    <mergeCell ref="A39:B39"/>
    <mergeCell ref="A59:I59"/>
    <mergeCell ref="H78:I78"/>
    <mergeCell ref="D74:E74"/>
    <mergeCell ref="E78:G78"/>
    <mergeCell ref="H80:I80"/>
    <mergeCell ref="H81:I81"/>
    <mergeCell ref="E79:G79"/>
    <mergeCell ref="H79:I79"/>
    <mergeCell ref="A5:B5"/>
    <mergeCell ref="A9:B9"/>
    <mergeCell ref="A11:B11"/>
    <mergeCell ref="A13:B13"/>
    <mergeCell ref="A14:B14"/>
    <mergeCell ref="A17:B17"/>
    <mergeCell ref="A18:B18"/>
    <mergeCell ref="A7:B7"/>
    <mergeCell ref="A6:B6"/>
    <mergeCell ref="A26:B26"/>
    <mergeCell ref="A27:B27"/>
    <mergeCell ref="D3:I3"/>
    <mergeCell ref="A4:B4"/>
    <mergeCell ref="A8:B8"/>
    <mergeCell ref="C4:D4"/>
    <mergeCell ref="C5:D5"/>
    <mergeCell ref="C6:D6"/>
    <mergeCell ref="C8:D8"/>
    <mergeCell ref="C7:D7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7:D37"/>
    <mergeCell ref="C38:D38"/>
    <mergeCell ref="C39:D39"/>
    <mergeCell ref="C36:D36"/>
    <mergeCell ref="C31:D31"/>
    <mergeCell ref="C32:D32"/>
    <mergeCell ref="C33:D33"/>
    <mergeCell ref="C34:D34"/>
    <mergeCell ref="C35:D35"/>
  </mergeCells>
  <conditionalFormatting sqref="I11">
    <cfRule type="duplicateValues" dxfId="3" priority="1"/>
  </conditionalFormatting>
  <dataValidations xWindow="206" yWindow="291" count="3">
    <dataValidation allowBlank="1" showInputMessage="1" showErrorMessage="1" promptTitle="DESCRIPCIÓN AMPLIADA" prompt="DESCRIBA DE FORMA AMPLIADA EL PRODUCTO DERIVADO DEL CODIGO ORIGEN SI ASI FUESE NECESARIO, DE LO CONTRARIO OMITA ESTE CAMPO" sqref="C40" xr:uid="{00000000-0002-0000-0100-000000000000}"/>
    <dataValidation type="decimal" allowBlank="1" showInputMessage="1" showErrorMessage="1" promptTitle="IMPREVISTOS" prompt="LOS IMPREVISTOS SE CALCULAN  ENTRE UN 2% Y UN 5% DEPENDIENDO DEL RIESGO DEL PROYECTO" sqref="F72" xr:uid="{00000000-0002-0000-0100-000001000000}">
      <formula1>0.02</formula1>
      <formula2>0.05</formula2>
    </dataValidation>
    <dataValidation type="whole" allowBlank="1" showInputMessage="1" showErrorMessage="1" errorTitle="RESPETE EL RANGO" error="DEBE VERIFICAR EL RANGO EN LA LISTA DE PRECIOS" promptTitle="REVISE LA LISTA DE PRECIOS" prompt="DEBE REVISAR LA LISTA DE PRECIOS PARA CONFRONTAR EL CODIGO DEL PRODUCTO VS LA LISTA DE PRECIOS" sqref="B40" xr:uid="{00000000-0002-0000-0100-000002000000}">
      <formula1>10101</formula1>
      <formula2>9999999999</formula2>
    </dataValidation>
  </dataValidations>
  <pageMargins left="0.7" right="0.7" top="0.75" bottom="0.75" header="0.3" footer="0.3"/>
  <pageSetup paperSize="9" orientation="portrait" r:id="rId1"/>
  <ignoredErrors>
    <ignoredError sqref="F5:F39" unlockedFormula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206" yWindow="291" count="3">
        <x14:dataValidation type="list" allowBlank="1" showInputMessage="1" showErrorMessage="1" xr:uid="{00000000-0002-0000-0100-000003000000}">
          <x14:formula1>
            <xm:f>IC!$B$2:$B$213</xm:f>
          </x14:formula1>
          <xm:sqref>C3</xm:sqref>
        </x14:dataValidation>
        <x14:dataValidation type="list" allowBlank="1" showInputMessage="1" showErrorMessage="1" xr:uid="{76B581D3-3366-4443-BE5C-DAAA21FEE690}">
          <x14:formula1>
            <xm:f>Precios!$A$2:$A$403</xm:f>
          </x14:formula1>
          <xm:sqref>A6:B39</xm:sqref>
        </x14:dataValidation>
        <x14:dataValidation type="list" allowBlank="1" showInputMessage="1" showErrorMessage="1" xr:uid="{BA6F813C-0B0E-4EDC-9C76-43C597F02DA6}">
          <x14:formula1>
            <xm:f>Precios!$A$2:$A$417</xm:f>
          </x14:formula1>
          <xm:sqref>A5:B5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G417"/>
  <sheetViews>
    <sheetView topLeftCell="A375" workbookViewId="0">
      <selection activeCell="E383" sqref="E383"/>
    </sheetView>
  </sheetViews>
  <sheetFormatPr baseColWidth="10" defaultRowHeight="12.75" x14ac:dyDescent="0.2"/>
  <cols>
    <col min="1" max="1" width="15.5703125" style="266" customWidth="1"/>
    <col min="2" max="2" width="74.42578125" style="266" customWidth="1"/>
    <col min="3" max="3" width="25" style="266" customWidth="1"/>
    <col min="6" max="6" width="35.28515625" customWidth="1"/>
    <col min="7" max="7" width="23" customWidth="1"/>
  </cols>
  <sheetData>
    <row r="1" spans="1:7" ht="15" x14ac:dyDescent="0.25">
      <c r="A1" s="265" t="s">
        <v>898</v>
      </c>
      <c r="B1" s="265" t="s">
        <v>726</v>
      </c>
      <c r="C1" s="265" t="s">
        <v>897</v>
      </c>
      <c r="D1" s="273" t="s">
        <v>1442</v>
      </c>
    </row>
    <row r="2" spans="1:7" ht="15" x14ac:dyDescent="0.25">
      <c r="A2" s="265"/>
      <c r="B2" s="265"/>
      <c r="C2" s="265"/>
      <c r="E2" s="323" t="s">
        <v>1506</v>
      </c>
      <c r="F2" s="323" t="s">
        <v>157</v>
      </c>
      <c r="G2" s="324" t="s">
        <v>897</v>
      </c>
    </row>
    <row r="3" spans="1:7" x14ac:dyDescent="0.2">
      <c r="A3" s="375" t="s">
        <v>1093</v>
      </c>
      <c r="B3" s="322" t="s">
        <v>727</v>
      </c>
      <c r="C3" s="377">
        <v>660</v>
      </c>
    </row>
    <row r="4" spans="1:7" x14ac:dyDescent="0.2">
      <c r="A4" s="375" t="s">
        <v>899</v>
      </c>
      <c r="B4" s="322" t="s">
        <v>728</v>
      </c>
      <c r="C4" s="377">
        <v>1140</v>
      </c>
    </row>
    <row r="5" spans="1:7" x14ac:dyDescent="0.2">
      <c r="A5" s="375" t="s">
        <v>900</v>
      </c>
      <c r="B5" s="322" t="s">
        <v>729</v>
      </c>
      <c r="C5" s="377">
        <v>2520</v>
      </c>
    </row>
    <row r="6" spans="1:7" x14ac:dyDescent="0.2">
      <c r="A6" s="375" t="s">
        <v>901</v>
      </c>
      <c r="B6" s="322" t="s">
        <v>730</v>
      </c>
      <c r="C6" s="377">
        <v>4080</v>
      </c>
    </row>
    <row r="7" spans="1:7" x14ac:dyDescent="0.2">
      <c r="A7" s="375" t="s">
        <v>902</v>
      </c>
      <c r="B7" s="322" t="s">
        <v>731</v>
      </c>
      <c r="C7" s="377">
        <v>6840</v>
      </c>
    </row>
    <row r="8" spans="1:7" x14ac:dyDescent="0.2">
      <c r="A8" s="375" t="s">
        <v>903</v>
      </c>
      <c r="B8" s="322" t="s">
        <v>732</v>
      </c>
      <c r="C8" s="377">
        <v>12180</v>
      </c>
    </row>
    <row r="9" spans="1:7" x14ac:dyDescent="0.2">
      <c r="A9" s="375" t="s">
        <v>904</v>
      </c>
      <c r="B9" s="322" t="s">
        <v>733</v>
      </c>
      <c r="C9" s="377">
        <v>19260</v>
      </c>
    </row>
    <row r="10" spans="1:7" x14ac:dyDescent="0.2">
      <c r="A10" s="375" t="s">
        <v>905</v>
      </c>
      <c r="B10" s="322" t="s">
        <v>734</v>
      </c>
      <c r="C10" s="377">
        <v>30360</v>
      </c>
    </row>
    <row r="11" spans="1:7" x14ac:dyDescent="0.2">
      <c r="A11" s="375" t="s">
        <v>906</v>
      </c>
      <c r="B11" s="322" t="s">
        <v>735</v>
      </c>
      <c r="C11" s="377">
        <v>64800</v>
      </c>
    </row>
    <row r="12" spans="1:7" x14ac:dyDescent="0.2">
      <c r="A12" s="375" t="s">
        <v>907</v>
      </c>
      <c r="B12" s="322" t="s">
        <v>736</v>
      </c>
      <c r="C12" s="377">
        <v>643.07692307688001</v>
      </c>
    </row>
    <row r="13" spans="1:7" x14ac:dyDescent="0.2">
      <c r="A13" s="375" t="s">
        <v>908</v>
      </c>
      <c r="B13" s="322" t="s">
        <v>737</v>
      </c>
      <c r="C13" s="377">
        <v>1020</v>
      </c>
    </row>
    <row r="14" spans="1:7" x14ac:dyDescent="0.2">
      <c r="A14" s="375" t="s">
        <v>909</v>
      </c>
      <c r="B14" s="322" t="s">
        <v>738</v>
      </c>
      <c r="C14" s="377">
        <v>2098.0645161290399</v>
      </c>
    </row>
    <row r="15" spans="1:7" x14ac:dyDescent="0.2">
      <c r="A15" s="375" t="s">
        <v>910</v>
      </c>
      <c r="B15" s="322" t="s">
        <v>739</v>
      </c>
      <c r="C15" s="377">
        <v>4380</v>
      </c>
    </row>
    <row r="16" spans="1:7" x14ac:dyDescent="0.2">
      <c r="A16" s="375" t="s">
        <v>911</v>
      </c>
      <c r="B16" s="322" t="s">
        <v>740</v>
      </c>
      <c r="C16" s="377">
        <v>5100</v>
      </c>
    </row>
    <row r="17" spans="1:3" x14ac:dyDescent="0.2">
      <c r="A17" s="375" t="s">
        <v>912</v>
      </c>
      <c r="B17" s="322" t="s">
        <v>741</v>
      </c>
      <c r="C17" s="377">
        <v>7320</v>
      </c>
    </row>
    <row r="18" spans="1:3" x14ac:dyDescent="0.2">
      <c r="A18" s="375" t="s">
        <v>913</v>
      </c>
      <c r="B18" s="322" t="s">
        <v>742</v>
      </c>
      <c r="C18" s="377">
        <v>18336</v>
      </c>
    </row>
    <row r="19" spans="1:3" x14ac:dyDescent="0.2">
      <c r="A19" s="375" t="s">
        <v>914</v>
      </c>
      <c r="B19" s="322" t="s">
        <v>743</v>
      </c>
      <c r="C19" s="377">
        <v>28560</v>
      </c>
    </row>
    <row r="20" spans="1:3" x14ac:dyDescent="0.2">
      <c r="A20" s="375" t="s">
        <v>915</v>
      </c>
      <c r="B20" s="322" t="s">
        <v>744</v>
      </c>
      <c r="C20" s="377">
        <v>52560</v>
      </c>
    </row>
    <row r="21" spans="1:3" x14ac:dyDescent="0.2">
      <c r="A21" s="375" t="s">
        <v>916</v>
      </c>
      <c r="B21" s="322" t="s">
        <v>745</v>
      </c>
      <c r="C21" s="377">
        <v>1560</v>
      </c>
    </row>
    <row r="22" spans="1:3" x14ac:dyDescent="0.2">
      <c r="A22" s="375" t="s">
        <v>917</v>
      </c>
      <c r="B22" s="322" t="s">
        <v>746</v>
      </c>
      <c r="C22" s="377">
        <v>3120</v>
      </c>
    </row>
    <row r="23" spans="1:3" x14ac:dyDescent="0.2">
      <c r="A23" s="375" t="s">
        <v>918</v>
      </c>
      <c r="B23" s="322" t="s">
        <v>747</v>
      </c>
      <c r="C23" s="377">
        <v>780</v>
      </c>
    </row>
    <row r="24" spans="1:3" x14ac:dyDescent="0.2">
      <c r="A24" s="375" t="s">
        <v>919</v>
      </c>
      <c r="B24" s="322" t="s">
        <v>748</v>
      </c>
      <c r="C24" s="377">
        <v>1547.3684210526001</v>
      </c>
    </row>
    <row r="25" spans="1:3" x14ac:dyDescent="0.2">
      <c r="A25" s="375" t="s">
        <v>920</v>
      </c>
      <c r="B25" s="322" t="s">
        <v>749</v>
      </c>
      <c r="C25" s="377">
        <v>1560</v>
      </c>
    </row>
    <row r="26" spans="1:3" x14ac:dyDescent="0.2">
      <c r="A26" s="375" t="s">
        <v>921</v>
      </c>
      <c r="B26" s="322" t="s">
        <v>750</v>
      </c>
      <c r="C26" s="377">
        <v>2940</v>
      </c>
    </row>
    <row r="27" spans="1:3" x14ac:dyDescent="0.2">
      <c r="A27" s="375" t="s">
        <v>922</v>
      </c>
      <c r="B27" s="322" t="s">
        <v>751</v>
      </c>
      <c r="C27" s="377">
        <v>2940</v>
      </c>
    </row>
    <row r="28" spans="1:3" x14ac:dyDescent="0.2">
      <c r="A28" s="375" t="s">
        <v>923</v>
      </c>
      <c r="B28" s="322" t="s">
        <v>752</v>
      </c>
      <c r="C28" s="377">
        <v>2932.3578947368801</v>
      </c>
    </row>
    <row r="29" spans="1:3" x14ac:dyDescent="0.2">
      <c r="A29" s="375" t="s">
        <v>924</v>
      </c>
      <c r="B29" s="322" t="s">
        <v>753</v>
      </c>
      <c r="C29" s="377">
        <v>4542.2224444444801</v>
      </c>
    </row>
    <row r="30" spans="1:3" x14ac:dyDescent="0.2">
      <c r="A30" s="375" t="s">
        <v>925</v>
      </c>
      <c r="B30" s="322" t="s">
        <v>754</v>
      </c>
      <c r="C30" s="377">
        <v>4560</v>
      </c>
    </row>
    <row r="31" spans="1:3" x14ac:dyDescent="0.2">
      <c r="A31" s="375" t="s">
        <v>926</v>
      </c>
      <c r="B31" s="322" t="s">
        <v>755</v>
      </c>
      <c r="C31" s="377">
        <v>4560</v>
      </c>
    </row>
    <row r="32" spans="1:3" x14ac:dyDescent="0.2">
      <c r="A32" s="375" t="s">
        <v>927</v>
      </c>
      <c r="B32" s="322" t="s">
        <v>756</v>
      </c>
      <c r="C32" s="377">
        <v>4560</v>
      </c>
    </row>
    <row r="33" spans="1:3" x14ac:dyDescent="0.2">
      <c r="A33" s="375" t="s">
        <v>928</v>
      </c>
      <c r="B33" s="322" t="s">
        <v>757</v>
      </c>
      <c r="C33" s="377">
        <v>6960</v>
      </c>
    </row>
    <row r="34" spans="1:3" x14ac:dyDescent="0.2">
      <c r="A34" s="375" t="s">
        <v>929</v>
      </c>
      <c r="B34" s="322" t="s">
        <v>758</v>
      </c>
      <c r="C34" s="377">
        <v>6960</v>
      </c>
    </row>
    <row r="35" spans="1:3" x14ac:dyDescent="0.2">
      <c r="A35" s="375" t="s">
        <v>930</v>
      </c>
      <c r="B35" s="322" t="s">
        <v>759</v>
      </c>
      <c r="C35" s="377">
        <v>6960</v>
      </c>
    </row>
    <row r="36" spans="1:3" x14ac:dyDescent="0.2">
      <c r="A36" s="375" t="s">
        <v>931</v>
      </c>
      <c r="B36" s="322" t="s">
        <v>760</v>
      </c>
      <c r="C36" s="377">
        <v>6960</v>
      </c>
    </row>
    <row r="37" spans="1:3" x14ac:dyDescent="0.2">
      <c r="A37" s="375" t="s">
        <v>932</v>
      </c>
      <c r="B37" s="322" t="s">
        <v>761</v>
      </c>
      <c r="C37" s="377">
        <v>6960</v>
      </c>
    </row>
    <row r="38" spans="1:3" x14ac:dyDescent="0.2">
      <c r="A38" s="375" t="s">
        <v>933</v>
      </c>
      <c r="B38" s="322" t="s">
        <v>762</v>
      </c>
      <c r="C38" s="377">
        <v>16320</v>
      </c>
    </row>
    <row r="39" spans="1:3" x14ac:dyDescent="0.2">
      <c r="A39" s="375" t="s">
        <v>934</v>
      </c>
      <c r="B39" s="322" t="s">
        <v>763</v>
      </c>
      <c r="C39" s="377">
        <v>25033.333333333318</v>
      </c>
    </row>
    <row r="40" spans="1:3" x14ac:dyDescent="0.2">
      <c r="A40" s="375" t="s">
        <v>935</v>
      </c>
      <c r="B40" s="322" t="s">
        <v>764</v>
      </c>
      <c r="C40" s="377">
        <v>24900</v>
      </c>
    </row>
    <row r="41" spans="1:3" x14ac:dyDescent="0.2">
      <c r="A41" s="375" t="s">
        <v>936</v>
      </c>
      <c r="B41" s="322" t="s">
        <v>765</v>
      </c>
      <c r="C41" s="377">
        <v>36300</v>
      </c>
    </row>
    <row r="42" spans="1:3" x14ac:dyDescent="0.2">
      <c r="A42" s="375" t="s">
        <v>937</v>
      </c>
      <c r="B42" s="322" t="s">
        <v>766</v>
      </c>
      <c r="C42" s="377">
        <v>970.90909090908008</v>
      </c>
    </row>
    <row r="43" spans="1:3" x14ac:dyDescent="0.2">
      <c r="A43" s="375" t="s">
        <v>938</v>
      </c>
      <c r="B43" s="322" t="s">
        <v>767</v>
      </c>
      <c r="C43" s="377">
        <v>1320</v>
      </c>
    </row>
    <row r="44" spans="1:3" x14ac:dyDescent="0.2">
      <c r="A44" s="375" t="s">
        <v>939</v>
      </c>
      <c r="B44" s="322" t="s">
        <v>159</v>
      </c>
      <c r="C44" s="377">
        <v>2520</v>
      </c>
    </row>
    <row r="45" spans="1:3" x14ac:dyDescent="0.2">
      <c r="A45" s="375" t="s">
        <v>940</v>
      </c>
      <c r="B45" s="322" t="s">
        <v>768</v>
      </c>
      <c r="C45" s="377">
        <v>5443.1998080001204</v>
      </c>
    </row>
    <row r="46" spans="1:3" x14ac:dyDescent="0.2">
      <c r="A46" s="375" t="s">
        <v>941</v>
      </c>
      <c r="B46" s="322" t="s">
        <v>769</v>
      </c>
      <c r="C46" s="377">
        <v>8880</v>
      </c>
    </row>
    <row r="47" spans="1:3" x14ac:dyDescent="0.2">
      <c r="A47" s="375" t="s">
        <v>942</v>
      </c>
      <c r="B47" s="322" t="s">
        <v>160</v>
      </c>
      <c r="C47" s="377">
        <v>14617.142857142881</v>
      </c>
    </row>
    <row r="48" spans="1:3" x14ac:dyDescent="0.2">
      <c r="A48" s="375" t="s">
        <v>943</v>
      </c>
      <c r="B48" s="322" t="s">
        <v>770</v>
      </c>
      <c r="C48" s="377">
        <v>41940</v>
      </c>
    </row>
    <row r="49" spans="1:3" x14ac:dyDescent="0.2">
      <c r="A49" s="375" t="s">
        <v>944</v>
      </c>
      <c r="B49" s="322" t="s">
        <v>161</v>
      </c>
      <c r="C49" s="377">
        <v>53280</v>
      </c>
    </row>
    <row r="50" spans="1:3" x14ac:dyDescent="0.2">
      <c r="A50" s="375" t="s">
        <v>945</v>
      </c>
      <c r="B50" s="322" t="s">
        <v>162</v>
      </c>
      <c r="C50" s="377">
        <v>117600</v>
      </c>
    </row>
    <row r="51" spans="1:3" x14ac:dyDescent="0.2">
      <c r="A51" s="375" t="s">
        <v>946</v>
      </c>
      <c r="B51" s="322" t="s">
        <v>771</v>
      </c>
      <c r="C51" s="377">
        <v>1320</v>
      </c>
    </row>
    <row r="52" spans="1:3" x14ac:dyDescent="0.2">
      <c r="A52" s="375" t="s">
        <v>947</v>
      </c>
      <c r="B52" s="322" t="s">
        <v>772</v>
      </c>
      <c r="C52" s="377">
        <v>2100</v>
      </c>
    </row>
    <row r="53" spans="1:3" x14ac:dyDescent="0.2">
      <c r="A53" s="375" t="s">
        <v>948</v>
      </c>
      <c r="B53" s="322" t="s">
        <v>164</v>
      </c>
      <c r="C53" s="377">
        <v>4020</v>
      </c>
    </row>
    <row r="54" spans="1:3" x14ac:dyDescent="0.2">
      <c r="A54" s="375" t="s">
        <v>949</v>
      </c>
      <c r="B54" s="322" t="s">
        <v>773</v>
      </c>
      <c r="C54" s="377">
        <v>7196.8695652173592</v>
      </c>
    </row>
    <row r="55" spans="1:3" x14ac:dyDescent="0.2">
      <c r="A55" s="375" t="s">
        <v>950</v>
      </c>
      <c r="B55" s="322" t="s">
        <v>774</v>
      </c>
      <c r="C55" s="377">
        <v>9660</v>
      </c>
    </row>
    <row r="56" spans="1:3" x14ac:dyDescent="0.2">
      <c r="A56" s="375" t="s">
        <v>951</v>
      </c>
      <c r="B56" s="322" t="s">
        <v>165</v>
      </c>
      <c r="C56" s="377">
        <v>15960</v>
      </c>
    </row>
    <row r="57" spans="1:3" x14ac:dyDescent="0.2">
      <c r="A57" s="375" t="s">
        <v>952</v>
      </c>
      <c r="B57" s="322" t="s">
        <v>775</v>
      </c>
      <c r="C57" s="377">
        <v>44940</v>
      </c>
    </row>
    <row r="58" spans="1:3" x14ac:dyDescent="0.2">
      <c r="A58" s="375" t="s">
        <v>953</v>
      </c>
      <c r="B58" s="322" t="s">
        <v>166</v>
      </c>
      <c r="C58" s="377">
        <v>51300</v>
      </c>
    </row>
    <row r="59" spans="1:3" x14ac:dyDescent="0.2">
      <c r="A59" s="375" t="s">
        <v>954</v>
      </c>
      <c r="B59" s="322" t="s">
        <v>167</v>
      </c>
      <c r="C59" s="377">
        <v>109140</v>
      </c>
    </row>
    <row r="60" spans="1:3" x14ac:dyDescent="0.2">
      <c r="A60" s="375" t="s">
        <v>955</v>
      </c>
      <c r="B60" s="322" t="s">
        <v>776</v>
      </c>
      <c r="C60" s="377">
        <v>660</v>
      </c>
    </row>
    <row r="61" spans="1:3" x14ac:dyDescent="0.2">
      <c r="A61" s="375" t="s">
        <v>956</v>
      </c>
      <c r="B61" s="322" t="s">
        <v>777</v>
      </c>
      <c r="C61" s="377">
        <v>4560</v>
      </c>
    </row>
    <row r="62" spans="1:3" x14ac:dyDescent="0.2">
      <c r="A62" s="375" t="s">
        <v>957</v>
      </c>
      <c r="B62" s="322" t="s">
        <v>778</v>
      </c>
      <c r="C62" s="377">
        <v>6049.5999999999603</v>
      </c>
    </row>
    <row r="63" spans="1:3" x14ac:dyDescent="0.2">
      <c r="A63" s="375" t="s">
        <v>958</v>
      </c>
      <c r="B63" s="322" t="s">
        <v>170</v>
      </c>
      <c r="C63" s="378">
        <v>8200</v>
      </c>
    </row>
    <row r="64" spans="1:3" x14ac:dyDescent="0.2">
      <c r="A64" s="375" t="s">
        <v>959</v>
      </c>
      <c r="B64" s="322" t="s">
        <v>168</v>
      </c>
      <c r="C64" s="377">
        <v>1560</v>
      </c>
    </row>
    <row r="65" spans="1:7" x14ac:dyDescent="0.2">
      <c r="A65" s="375" t="s">
        <v>960</v>
      </c>
      <c r="B65" s="322" t="s">
        <v>169</v>
      </c>
      <c r="C65" s="377">
        <v>7560</v>
      </c>
    </row>
    <row r="66" spans="1:7" x14ac:dyDescent="0.2">
      <c r="A66" s="375" t="s">
        <v>961</v>
      </c>
      <c r="B66" s="322" t="s">
        <v>779</v>
      </c>
      <c r="C66" s="377">
        <v>1080</v>
      </c>
    </row>
    <row r="67" spans="1:7" x14ac:dyDescent="0.2">
      <c r="A67" s="375" t="s">
        <v>962</v>
      </c>
      <c r="B67" s="322" t="s">
        <v>780</v>
      </c>
      <c r="C67" s="377">
        <v>1800</v>
      </c>
    </row>
    <row r="68" spans="1:7" x14ac:dyDescent="0.2">
      <c r="A68" s="375" t="s">
        <v>963</v>
      </c>
      <c r="B68" s="322" t="s">
        <v>171</v>
      </c>
      <c r="C68" s="377">
        <v>3447.24</v>
      </c>
    </row>
    <row r="69" spans="1:7" x14ac:dyDescent="0.2">
      <c r="A69" s="375" t="s">
        <v>964</v>
      </c>
      <c r="B69" s="322" t="s">
        <v>781</v>
      </c>
      <c r="C69" s="377">
        <v>8940</v>
      </c>
    </row>
    <row r="70" spans="1:7" x14ac:dyDescent="0.2">
      <c r="A70" s="375" t="s">
        <v>965</v>
      </c>
      <c r="B70" s="322" t="s">
        <v>782</v>
      </c>
      <c r="C70" s="377">
        <v>11700</v>
      </c>
    </row>
    <row r="71" spans="1:7" x14ac:dyDescent="0.2">
      <c r="A71" s="375" t="s">
        <v>966</v>
      </c>
      <c r="B71" s="322" t="s">
        <v>172</v>
      </c>
      <c r="C71" s="377">
        <v>18600</v>
      </c>
    </row>
    <row r="72" spans="1:7" x14ac:dyDescent="0.2">
      <c r="A72" s="375" t="s">
        <v>967</v>
      </c>
      <c r="B72" s="322" t="s">
        <v>783</v>
      </c>
      <c r="C72" s="377">
        <v>44100</v>
      </c>
    </row>
    <row r="73" spans="1:7" x14ac:dyDescent="0.2">
      <c r="A73" s="375" t="s">
        <v>968</v>
      </c>
      <c r="B73" s="322" t="s">
        <v>173</v>
      </c>
      <c r="C73" s="377">
        <v>70140</v>
      </c>
    </row>
    <row r="74" spans="1:7" x14ac:dyDescent="0.2">
      <c r="A74" s="375" t="s">
        <v>969</v>
      </c>
      <c r="B74" s="322" t="s">
        <v>784</v>
      </c>
      <c r="C74" s="377">
        <v>3600</v>
      </c>
    </row>
    <row r="75" spans="1:7" x14ac:dyDescent="0.2">
      <c r="A75" s="375" t="s">
        <v>1105</v>
      </c>
      <c r="B75" s="322" t="s">
        <v>1106</v>
      </c>
      <c r="C75" s="378">
        <v>4000</v>
      </c>
    </row>
    <row r="76" spans="1:7" x14ac:dyDescent="0.2">
      <c r="A76" s="375" t="s">
        <v>970</v>
      </c>
      <c r="B76" s="322" t="s">
        <v>785</v>
      </c>
      <c r="C76" s="377">
        <v>16601.86666666668</v>
      </c>
    </row>
    <row r="77" spans="1:7" x14ac:dyDescent="0.2">
      <c r="A77" s="375" t="s">
        <v>1107</v>
      </c>
      <c r="B77" s="322" t="s">
        <v>1108</v>
      </c>
      <c r="C77" s="378">
        <v>17475</v>
      </c>
    </row>
    <row r="78" spans="1:7" x14ac:dyDescent="0.2">
      <c r="A78" s="375" t="s">
        <v>971</v>
      </c>
      <c r="B78" s="322" t="s">
        <v>786</v>
      </c>
      <c r="C78" s="378">
        <v>29000</v>
      </c>
      <c r="E78" s="373" t="s">
        <v>971</v>
      </c>
      <c r="F78" s="373" t="s">
        <v>786</v>
      </c>
      <c r="G78" s="374">
        <v>92420.000000000044</v>
      </c>
    </row>
    <row r="79" spans="1:7" x14ac:dyDescent="0.2">
      <c r="A79" s="375" t="s">
        <v>972</v>
      </c>
      <c r="B79" s="322" t="s">
        <v>787</v>
      </c>
      <c r="C79" s="377">
        <v>46182.854571428514</v>
      </c>
    </row>
    <row r="80" spans="1:7" x14ac:dyDescent="0.2">
      <c r="A80" s="375" t="s">
        <v>973</v>
      </c>
      <c r="B80" s="322" t="s">
        <v>788</v>
      </c>
      <c r="C80" s="377">
        <v>73200</v>
      </c>
    </row>
    <row r="81" spans="1:3" x14ac:dyDescent="0.2">
      <c r="A81" s="375" t="s">
        <v>1110</v>
      </c>
      <c r="B81" s="322" t="s">
        <v>1111</v>
      </c>
      <c r="C81" s="379">
        <v>562.5</v>
      </c>
    </row>
    <row r="82" spans="1:3" x14ac:dyDescent="0.2">
      <c r="A82" s="375" t="s">
        <v>974</v>
      </c>
      <c r="B82" s="322" t="s">
        <v>789</v>
      </c>
      <c r="C82" s="377">
        <v>840</v>
      </c>
    </row>
    <row r="83" spans="1:3" x14ac:dyDescent="0.2">
      <c r="A83" s="375" t="s">
        <v>975</v>
      </c>
      <c r="B83" s="322" t="s">
        <v>174</v>
      </c>
      <c r="C83" s="377">
        <v>1430.76923076924</v>
      </c>
    </row>
    <row r="84" spans="1:3" x14ac:dyDescent="0.2">
      <c r="A84" s="375" t="s">
        <v>976</v>
      </c>
      <c r="B84" s="322" t="s">
        <v>790</v>
      </c>
      <c r="C84" s="377">
        <v>2460</v>
      </c>
    </row>
    <row r="85" spans="1:3" x14ac:dyDescent="0.2">
      <c r="A85" s="375" t="s">
        <v>977</v>
      </c>
      <c r="B85" s="322" t="s">
        <v>791</v>
      </c>
      <c r="C85" s="377">
        <v>3300</v>
      </c>
    </row>
    <row r="86" spans="1:3" x14ac:dyDescent="0.2">
      <c r="A86" s="375" t="s">
        <v>978</v>
      </c>
      <c r="B86" s="322" t="s">
        <v>175</v>
      </c>
      <c r="C86" s="377">
        <v>4329</v>
      </c>
    </row>
    <row r="87" spans="1:3" x14ac:dyDescent="0.2">
      <c r="A87" s="375" t="s">
        <v>979</v>
      </c>
      <c r="B87" s="322" t="s">
        <v>792</v>
      </c>
      <c r="C87" s="377">
        <v>21180</v>
      </c>
    </row>
    <row r="88" spans="1:3" x14ac:dyDescent="0.2">
      <c r="A88" s="375" t="s">
        <v>980</v>
      </c>
      <c r="B88" s="322" t="s">
        <v>176</v>
      </c>
      <c r="C88" s="377">
        <v>26280</v>
      </c>
    </row>
    <row r="89" spans="1:3" x14ac:dyDescent="0.2">
      <c r="A89" s="375" t="s">
        <v>981</v>
      </c>
      <c r="B89" s="322" t="s">
        <v>177</v>
      </c>
      <c r="C89" s="377">
        <v>57000</v>
      </c>
    </row>
    <row r="90" spans="1:3" x14ac:dyDescent="0.2">
      <c r="A90" s="375" t="s">
        <v>982</v>
      </c>
      <c r="B90" s="322" t="s">
        <v>180</v>
      </c>
      <c r="C90" s="378">
        <v>87200</v>
      </c>
    </row>
    <row r="91" spans="1:3" x14ac:dyDescent="0.2">
      <c r="A91" s="375" t="s">
        <v>983</v>
      </c>
      <c r="B91" s="322" t="s">
        <v>793</v>
      </c>
      <c r="C91" s="377">
        <v>2520</v>
      </c>
    </row>
    <row r="92" spans="1:3" x14ac:dyDescent="0.2">
      <c r="A92" s="375" t="s">
        <v>984</v>
      </c>
      <c r="B92" s="322" t="s">
        <v>794</v>
      </c>
      <c r="C92" s="377">
        <v>3360</v>
      </c>
    </row>
    <row r="93" spans="1:3" x14ac:dyDescent="0.2">
      <c r="A93" s="375" t="s">
        <v>985</v>
      </c>
      <c r="B93" s="322" t="s">
        <v>795</v>
      </c>
      <c r="C93" s="377">
        <v>9900</v>
      </c>
    </row>
    <row r="94" spans="1:3" x14ac:dyDescent="0.2">
      <c r="A94" s="375" t="s">
        <v>986</v>
      </c>
      <c r="B94" s="322" t="s">
        <v>796</v>
      </c>
      <c r="C94" s="377">
        <v>11707.96825949664</v>
      </c>
    </row>
    <row r="95" spans="1:3" x14ac:dyDescent="0.2">
      <c r="A95" s="375" t="s">
        <v>987</v>
      </c>
      <c r="B95" s="322" t="s">
        <v>179</v>
      </c>
      <c r="C95" s="377">
        <v>18720</v>
      </c>
    </row>
    <row r="96" spans="1:3" x14ac:dyDescent="0.2">
      <c r="A96" s="375" t="s">
        <v>988</v>
      </c>
      <c r="B96" s="322" t="s">
        <v>797</v>
      </c>
      <c r="C96" s="377">
        <v>2880</v>
      </c>
    </row>
    <row r="97" spans="1:3" x14ac:dyDescent="0.2">
      <c r="A97" s="375" t="s">
        <v>989</v>
      </c>
      <c r="B97" s="322" t="s">
        <v>798</v>
      </c>
      <c r="C97" s="377">
        <v>4500</v>
      </c>
    </row>
    <row r="98" spans="1:3" x14ac:dyDescent="0.2">
      <c r="A98" s="375" t="s">
        <v>990</v>
      </c>
      <c r="B98" s="322" t="s">
        <v>799</v>
      </c>
      <c r="C98" s="377">
        <v>9108</v>
      </c>
    </row>
    <row r="99" spans="1:3" x14ac:dyDescent="0.2">
      <c r="A99" s="375" t="s">
        <v>991</v>
      </c>
      <c r="B99" s="322" t="s">
        <v>800</v>
      </c>
      <c r="C99" s="377">
        <v>10980</v>
      </c>
    </row>
    <row r="100" spans="1:3" x14ac:dyDescent="0.2">
      <c r="A100" s="375" t="s">
        <v>992</v>
      </c>
      <c r="B100" s="322" t="s">
        <v>801</v>
      </c>
      <c r="C100" s="377">
        <v>15400.00000000008</v>
      </c>
    </row>
    <row r="101" spans="1:3" x14ac:dyDescent="0.2">
      <c r="A101" s="375" t="s">
        <v>993</v>
      </c>
      <c r="B101" s="322" t="s">
        <v>802</v>
      </c>
      <c r="C101" s="377">
        <v>23880</v>
      </c>
    </row>
    <row r="102" spans="1:3" x14ac:dyDescent="0.2">
      <c r="A102" s="375" t="s">
        <v>994</v>
      </c>
      <c r="B102" s="322" t="s">
        <v>803</v>
      </c>
      <c r="C102" s="377">
        <v>18120</v>
      </c>
    </row>
    <row r="103" spans="1:3" x14ac:dyDescent="0.2">
      <c r="A103" s="375" t="s">
        <v>995</v>
      </c>
      <c r="B103" s="322" t="s">
        <v>804</v>
      </c>
      <c r="C103" s="377">
        <v>220186.66666666669</v>
      </c>
    </row>
    <row r="104" spans="1:3" x14ac:dyDescent="0.2">
      <c r="A104" s="375" t="s">
        <v>996</v>
      </c>
      <c r="B104" s="322" t="s">
        <v>805</v>
      </c>
      <c r="C104" s="377">
        <v>13200</v>
      </c>
    </row>
    <row r="105" spans="1:3" x14ac:dyDescent="0.2">
      <c r="A105" s="375" t="s">
        <v>997</v>
      </c>
      <c r="B105" s="322" t="s">
        <v>806</v>
      </c>
      <c r="C105" s="377">
        <v>13200</v>
      </c>
    </row>
    <row r="106" spans="1:3" x14ac:dyDescent="0.2">
      <c r="A106" s="375" t="s">
        <v>998</v>
      </c>
      <c r="B106" s="322" t="s">
        <v>807</v>
      </c>
      <c r="C106" s="377">
        <v>2460</v>
      </c>
    </row>
    <row r="107" spans="1:3" x14ac:dyDescent="0.2">
      <c r="A107" s="375" t="s">
        <v>999</v>
      </c>
      <c r="B107" s="322" t="s">
        <v>808</v>
      </c>
      <c r="C107" s="377">
        <v>3720</v>
      </c>
    </row>
    <row r="108" spans="1:3" x14ac:dyDescent="0.2">
      <c r="A108" s="375" t="s">
        <v>1000</v>
      </c>
      <c r="B108" s="322" t="s">
        <v>809</v>
      </c>
      <c r="C108" s="377">
        <v>29400</v>
      </c>
    </row>
    <row r="109" spans="1:3" x14ac:dyDescent="0.2">
      <c r="A109" s="375" t="s">
        <v>1001</v>
      </c>
      <c r="B109" s="322" t="s">
        <v>810</v>
      </c>
      <c r="C109" s="377">
        <v>4680</v>
      </c>
    </row>
    <row r="110" spans="1:3" x14ac:dyDescent="0.2">
      <c r="A110" s="375" t="s">
        <v>1112</v>
      </c>
      <c r="B110" s="322" t="s">
        <v>1113</v>
      </c>
      <c r="C110" s="379">
        <v>93750</v>
      </c>
    </row>
    <row r="111" spans="1:3" x14ac:dyDescent="0.2">
      <c r="A111" s="375" t="s">
        <v>1002</v>
      </c>
      <c r="B111" s="322" t="s">
        <v>811</v>
      </c>
      <c r="C111" s="377">
        <v>3300</v>
      </c>
    </row>
    <row r="112" spans="1:3" x14ac:dyDescent="0.2">
      <c r="A112" s="375" t="s">
        <v>1003</v>
      </c>
      <c r="B112" s="322" t="s">
        <v>812</v>
      </c>
      <c r="C112" s="377">
        <v>20400</v>
      </c>
    </row>
    <row r="113" spans="1:3" x14ac:dyDescent="0.2">
      <c r="A113" s="375" t="s">
        <v>1004</v>
      </c>
      <c r="B113" s="322" t="s">
        <v>813</v>
      </c>
      <c r="C113" s="377">
        <v>3540</v>
      </c>
    </row>
    <row r="114" spans="1:3" x14ac:dyDescent="0.2">
      <c r="A114" s="375" t="s">
        <v>1005</v>
      </c>
      <c r="B114" s="322" t="s">
        <v>814</v>
      </c>
      <c r="C114" s="377">
        <v>2940</v>
      </c>
    </row>
    <row r="115" spans="1:3" x14ac:dyDescent="0.2">
      <c r="A115" s="375" t="s">
        <v>1006</v>
      </c>
      <c r="B115" s="322" t="s">
        <v>815</v>
      </c>
      <c r="C115" s="377">
        <v>18000</v>
      </c>
    </row>
    <row r="116" spans="1:3" x14ac:dyDescent="0.2">
      <c r="A116" s="375" t="s">
        <v>1007</v>
      </c>
      <c r="B116" s="322" t="s">
        <v>816</v>
      </c>
      <c r="C116" s="377">
        <v>37800</v>
      </c>
    </row>
    <row r="117" spans="1:3" x14ac:dyDescent="0.2">
      <c r="A117" s="375" t="s">
        <v>1008</v>
      </c>
      <c r="B117" s="322" t="s">
        <v>817</v>
      </c>
      <c r="C117" s="377">
        <v>420000</v>
      </c>
    </row>
    <row r="118" spans="1:3" x14ac:dyDescent="0.2">
      <c r="A118" s="375" t="s">
        <v>1009</v>
      </c>
      <c r="B118" s="322" t="s">
        <v>818</v>
      </c>
      <c r="C118" s="377">
        <v>5400</v>
      </c>
    </row>
    <row r="119" spans="1:3" x14ac:dyDescent="0.2">
      <c r="A119" s="375" t="s">
        <v>1114</v>
      </c>
      <c r="B119" s="322" t="s">
        <v>1115</v>
      </c>
      <c r="C119" s="379">
        <v>16875</v>
      </c>
    </row>
    <row r="120" spans="1:3" x14ac:dyDescent="0.2">
      <c r="A120" s="375" t="s">
        <v>1010</v>
      </c>
      <c r="B120" s="322" t="s">
        <v>819</v>
      </c>
      <c r="C120" s="377">
        <v>25800</v>
      </c>
    </row>
    <row r="121" spans="1:3" x14ac:dyDescent="0.2">
      <c r="A121" s="375" t="s">
        <v>1011</v>
      </c>
      <c r="B121" s="322" t="s">
        <v>820</v>
      </c>
      <c r="C121" s="377">
        <v>21000</v>
      </c>
    </row>
    <row r="122" spans="1:3" x14ac:dyDescent="0.2">
      <c r="A122" s="375" t="s">
        <v>1012</v>
      </c>
      <c r="B122" s="322" t="s">
        <v>821</v>
      </c>
      <c r="C122" s="377">
        <v>14400</v>
      </c>
    </row>
    <row r="123" spans="1:3" x14ac:dyDescent="0.2">
      <c r="A123" s="375" t="s">
        <v>1013</v>
      </c>
      <c r="B123" s="322" t="s">
        <v>822</v>
      </c>
      <c r="C123" s="377">
        <v>15000</v>
      </c>
    </row>
    <row r="124" spans="1:3" x14ac:dyDescent="0.2">
      <c r="A124" s="375" t="s">
        <v>1116</v>
      </c>
      <c r="B124" s="322" t="s">
        <v>1117</v>
      </c>
      <c r="C124" s="379">
        <v>17375</v>
      </c>
    </row>
    <row r="125" spans="1:3" x14ac:dyDescent="0.2">
      <c r="A125" s="375" t="s">
        <v>1014</v>
      </c>
      <c r="B125" s="322" t="s">
        <v>823</v>
      </c>
      <c r="C125" s="377">
        <v>28800</v>
      </c>
    </row>
    <row r="126" spans="1:3" x14ac:dyDescent="0.2">
      <c r="A126" s="375" t="s">
        <v>1015</v>
      </c>
      <c r="B126" s="322" t="s">
        <v>824</v>
      </c>
      <c r="C126" s="377">
        <v>15000</v>
      </c>
    </row>
    <row r="127" spans="1:3" x14ac:dyDescent="0.2">
      <c r="A127" s="375" t="s">
        <v>1016</v>
      </c>
      <c r="B127" s="322" t="s">
        <v>825</v>
      </c>
      <c r="C127" s="377">
        <v>7800</v>
      </c>
    </row>
    <row r="128" spans="1:3" x14ac:dyDescent="0.2">
      <c r="A128" s="375" t="s">
        <v>1017</v>
      </c>
      <c r="B128" s="322" t="s">
        <v>826</v>
      </c>
      <c r="C128" s="377">
        <v>10440</v>
      </c>
    </row>
    <row r="129" spans="1:3" x14ac:dyDescent="0.2">
      <c r="A129" s="375" t="s">
        <v>1018</v>
      </c>
      <c r="B129" s="322" t="s">
        <v>827</v>
      </c>
      <c r="C129" s="377">
        <v>34200</v>
      </c>
    </row>
    <row r="130" spans="1:3" x14ac:dyDescent="0.2">
      <c r="A130" s="375" t="s">
        <v>1019</v>
      </c>
      <c r="B130" s="322" t="s">
        <v>828</v>
      </c>
      <c r="C130" s="377">
        <v>76200</v>
      </c>
    </row>
    <row r="131" spans="1:3" x14ac:dyDescent="0.2">
      <c r="A131" s="375" t="s">
        <v>1020</v>
      </c>
      <c r="B131" s="322" t="s">
        <v>829</v>
      </c>
      <c r="C131" s="377">
        <v>5880</v>
      </c>
    </row>
    <row r="132" spans="1:3" x14ac:dyDescent="0.2">
      <c r="A132" s="375" t="s">
        <v>1021</v>
      </c>
      <c r="B132" s="322" t="s">
        <v>830</v>
      </c>
      <c r="C132" s="377">
        <v>26400</v>
      </c>
    </row>
    <row r="133" spans="1:3" x14ac:dyDescent="0.2">
      <c r="A133" s="375" t="s">
        <v>1118</v>
      </c>
      <c r="B133" s="322" t="s">
        <v>1119</v>
      </c>
      <c r="C133" s="379">
        <v>325000</v>
      </c>
    </row>
    <row r="134" spans="1:3" x14ac:dyDescent="0.2">
      <c r="A134" s="375" t="s">
        <v>1022</v>
      </c>
      <c r="B134" s="322" t="s">
        <v>831</v>
      </c>
      <c r="C134" s="377">
        <v>23400</v>
      </c>
    </row>
    <row r="135" spans="1:3" x14ac:dyDescent="0.2">
      <c r="A135" s="375" t="s">
        <v>1023</v>
      </c>
      <c r="B135" s="322" t="s">
        <v>832</v>
      </c>
      <c r="C135" s="377">
        <v>5400</v>
      </c>
    </row>
    <row r="136" spans="1:3" x14ac:dyDescent="0.2">
      <c r="A136" s="375" t="s">
        <v>1120</v>
      </c>
      <c r="B136" s="322" t="s">
        <v>1121</v>
      </c>
      <c r="C136" s="379">
        <v>6875</v>
      </c>
    </row>
    <row r="137" spans="1:3" x14ac:dyDescent="0.2">
      <c r="A137" s="375" t="s">
        <v>1122</v>
      </c>
      <c r="B137" s="322" t="s">
        <v>1123</v>
      </c>
      <c r="C137" s="379">
        <v>3687.5</v>
      </c>
    </row>
    <row r="138" spans="1:3" x14ac:dyDescent="0.2">
      <c r="A138" s="375" t="s">
        <v>1024</v>
      </c>
      <c r="B138" s="322" t="s">
        <v>833</v>
      </c>
      <c r="C138" s="377">
        <v>21000</v>
      </c>
    </row>
    <row r="139" spans="1:3" x14ac:dyDescent="0.2">
      <c r="A139" s="375" t="s">
        <v>1025</v>
      </c>
      <c r="B139" s="322" t="s">
        <v>834</v>
      </c>
      <c r="C139" s="377">
        <v>15480</v>
      </c>
    </row>
    <row r="140" spans="1:3" x14ac:dyDescent="0.2">
      <c r="A140" s="375" t="s">
        <v>1026</v>
      </c>
      <c r="B140" s="322" t="s">
        <v>835</v>
      </c>
      <c r="C140" s="377">
        <v>11400</v>
      </c>
    </row>
    <row r="141" spans="1:3" x14ac:dyDescent="0.2">
      <c r="A141" s="375" t="s">
        <v>1027</v>
      </c>
      <c r="B141" s="322" t="s">
        <v>836</v>
      </c>
      <c r="C141" s="377">
        <v>47400</v>
      </c>
    </row>
    <row r="142" spans="1:3" x14ac:dyDescent="0.2">
      <c r="A142" s="375" t="s">
        <v>1124</v>
      </c>
      <c r="B142" s="322" t="s">
        <v>1125</v>
      </c>
      <c r="C142" s="379">
        <v>16250</v>
      </c>
    </row>
    <row r="143" spans="1:3" x14ac:dyDescent="0.2">
      <c r="A143" s="375" t="s">
        <v>1028</v>
      </c>
      <c r="B143" s="322" t="s">
        <v>837</v>
      </c>
      <c r="C143" s="377">
        <v>17400</v>
      </c>
    </row>
    <row r="144" spans="1:3" x14ac:dyDescent="0.2">
      <c r="A144" s="375" t="s">
        <v>1029</v>
      </c>
      <c r="B144" s="322" t="s">
        <v>838</v>
      </c>
      <c r="C144" s="377">
        <v>15000</v>
      </c>
    </row>
    <row r="145" spans="1:3" x14ac:dyDescent="0.2">
      <c r="A145" s="375" t="s">
        <v>1030</v>
      </c>
      <c r="B145" s="322" t="s">
        <v>839</v>
      </c>
      <c r="C145" s="377">
        <v>15480</v>
      </c>
    </row>
    <row r="146" spans="1:3" x14ac:dyDescent="0.2">
      <c r="A146" s="375" t="s">
        <v>1031</v>
      </c>
      <c r="B146" s="322" t="s">
        <v>181</v>
      </c>
      <c r="C146" s="377">
        <v>51000</v>
      </c>
    </row>
    <row r="147" spans="1:3" x14ac:dyDescent="0.2">
      <c r="A147" s="375" t="s">
        <v>1032</v>
      </c>
      <c r="B147" s="322" t="s">
        <v>840</v>
      </c>
      <c r="C147" s="377">
        <v>76200</v>
      </c>
    </row>
    <row r="148" spans="1:3" x14ac:dyDescent="0.2">
      <c r="A148" s="375" t="s">
        <v>1033</v>
      </c>
      <c r="B148" s="322" t="s">
        <v>841</v>
      </c>
      <c r="C148" s="377">
        <v>39000</v>
      </c>
    </row>
    <row r="149" spans="1:3" x14ac:dyDescent="0.2">
      <c r="A149" s="375" t="s">
        <v>1034</v>
      </c>
      <c r="B149" s="322" t="s">
        <v>842</v>
      </c>
      <c r="C149" s="377">
        <v>210000</v>
      </c>
    </row>
    <row r="150" spans="1:3" x14ac:dyDescent="0.2">
      <c r="A150" s="375" t="s">
        <v>1126</v>
      </c>
      <c r="B150" s="322" t="s">
        <v>1127</v>
      </c>
      <c r="C150" s="379">
        <v>305250</v>
      </c>
    </row>
    <row r="151" spans="1:3" x14ac:dyDescent="0.2">
      <c r="A151" s="375" t="s">
        <v>1128</v>
      </c>
      <c r="B151" s="322" t="s">
        <v>1129</v>
      </c>
      <c r="C151" s="379">
        <v>156250</v>
      </c>
    </row>
    <row r="152" spans="1:3" x14ac:dyDescent="0.2">
      <c r="A152" s="375" t="s">
        <v>1130</v>
      </c>
      <c r="B152" s="322" t="s">
        <v>1131</v>
      </c>
      <c r="C152" s="379">
        <v>144078.125</v>
      </c>
    </row>
    <row r="153" spans="1:3" x14ac:dyDescent="0.2">
      <c r="A153" s="375" t="s">
        <v>1132</v>
      </c>
      <c r="B153" s="322" t="s">
        <v>1133</v>
      </c>
      <c r="C153" s="379">
        <v>49375</v>
      </c>
    </row>
    <row r="154" spans="1:3" x14ac:dyDescent="0.2">
      <c r="A154" s="375" t="s">
        <v>1134</v>
      </c>
      <c r="B154" s="322" t="s">
        <v>1135</v>
      </c>
      <c r="C154" s="379">
        <v>29375</v>
      </c>
    </row>
    <row r="155" spans="1:3" x14ac:dyDescent="0.2">
      <c r="A155" s="375" t="s">
        <v>1136</v>
      </c>
      <c r="B155" s="322" t="s">
        <v>1137</v>
      </c>
      <c r="C155" s="379">
        <v>993750</v>
      </c>
    </row>
    <row r="156" spans="1:3" x14ac:dyDescent="0.2">
      <c r="A156" s="375" t="s">
        <v>1138</v>
      </c>
      <c r="B156" s="322" t="s">
        <v>1139</v>
      </c>
      <c r="C156" s="379">
        <v>16482.137499999997</v>
      </c>
    </row>
    <row r="157" spans="1:3" x14ac:dyDescent="0.2">
      <c r="A157" s="375" t="s">
        <v>1140</v>
      </c>
      <c r="B157" s="322" t="s">
        <v>1141</v>
      </c>
      <c r="C157" s="379">
        <v>405000</v>
      </c>
    </row>
    <row r="158" spans="1:3" x14ac:dyDescent="0.2">
      <c r="A158" s="375" t="s">
        <v>1142</v>
      </c>
      <c r="B158" s="322" t="s">
        <v>1143</v>
      </c>
      <c r="C158" s="379">
        <v>24375</v>
      </c>
    </row>
    <row r="159" spans="1:3" x14ac:dyDescent="0.2">
      <c r="A159" s="375" t="s">
        <v>1144</v>
      </c>
      <c r="B159" s="322" t="s">
        <v>1145</v>
      </c>
      <c r="C159" s="379">
        <v>22500</v>
      </c>
    </row>
    <row r="160" spans="1:3" x14ac:dyDescent="0.2">
      <c r="A160" s="375" t="s">
        <v>1146</v>
      </c>
      <c r="B160" s="322" t="s">
        <v>1147</v>
      </c>
      <c r="C160" s="379">
        <v>20000</v>
      </c>
    </row>
    <row r="161" spans="1:3" x14ac:dyDescent="0.2">
      <c r="A161" s="375" t="s">
        <v>1148</v>
      </c>
      <c r="B161" s="322" t="s">
        <v>1149</v>
      </c>
      <c r="C161" s="379">
        <v>21125</v>
      </c>
    </row>
    <row r="162" spans="1:3" x14ac:dyDescent="0.2">
      <c r="A162" s="375" t="s">
        <v>1150</v>
      </c>
      <c r="B162" s="322" t="s">
        <v>1151</v>
      </c>
      <c r="C162" s="379">
        <v>86875</v>
      </c>
    </row>
    <row r="163" spans="1:3" x14ac:dyDescent="0.2">
      <c r="A163" s="375" t="s">
        <v>1152</v>
      </c>
      <c r="B163" s="322" t="s">
        <v>1153</v>
      </c>
      <c r="C163" s="379">
        <v>31250</v>
      </c>
    </row>
    <row r="164" spans="1:3" x14ac:dyDescent="0.2">
      <c r="A164" s="375" t="s">
        <v>1154</v>
      </c>
      <c r="B164" s="322" t="s">
        <v>1155</v>
      </c>
      <c r="C164" s="379">
        <v>20625</v>
      </c>
    </row>
    <row r="165" spans="1:3" x14ac:dyDescent="0.2">
      <c r="A165" s="375" t="s">
        <v>1156</v>
      </c>
      <c r="B165" s="322" t="s">
        <v>1157</v>
      </c>
      <c r="C165" s="379">
        <v>172853.75</v>
      </c>
    </row>
    <row r="166" spans="1:3" x14ac:dyDescent="0.2">
      <c r="A166" s="375" t="s">
        <v>1158</v>
      </c>
      <c r="B166" s="322" t="s">
        <v>1159</v>
      </c>
      <c r="C166" s="379">
        <v>41696.25</v>
      </c>
    </row>
    <row r="167" spans="1:3" x14ac:dyDescent="0.2">
      <c r="A167" s="375" t="s">
        <v>1035</v>
      </c>
      <c r="B167" s="322" t="s">
        <v>843</v>
      </c>
      <c r="C167" s="377">
        <v>125340</v>
      </c>
    </row>
    <row r="168" spans="1:3" x14ac:dyDescent="0.2">
      <c r="A168" s="375" t="s">
        <v>1036</v>
      </c>
      <c r="B168" s="322" t="s">
        <v>844</v>
      </c>
      <c r="C168" s="377">
        <v>5940</v>
      </c>
    </row>
    <row r="169" spans="1:3" x14ac:dyDescent="0.2">
      <c r="A169" s="375" t="s">
        <v>1037</v>
      </c>
      <c r="B169" s="322" t="s">
        <v>845</v>
      </c>
      <c r="C169" s="377">
        <v>72341.24683714284</v>
      </c>
    </row>
    <row r="170" spans="1:3" x14ac:dyDescent="0.2">
      <c r="A170" s="375" t="s">
        <v>1038</v>
      </c>
      <c r="B170" s="322" t="s">
        <v>178</v>
      </c>
      <c r="C170" s="377">
        <v>5580</v>
      </c>
    </row>
    <row r="171" spans="1:3" x14ac:dyDescent="0.2">
      <c r="A171" s="375" t="s">
        <v>1039</v>
      </c>
      <c r="B171" s="322" t="s">
        <v>846</v>
      </c>
      <c r="C171" s="377">
        <v>59100</v>
      </c>
    </row>
    <row r="172" spans="1:3" x14ac:dyDescent="0.2">
      <c r="A172" s="375" t="s">
        <v>1040</v>
      </c>
      <c r="B172" s="322" t="s">
        <v>847</v>
      </c>
      <c r="C172" s="377">
        <v>3239.6760181467598</v>
      </c>
    </row>
    <row r="173" spans="1:3" x14ac:dyDescent="0.2">
      <c r="A173" s="375" t="s">
        <v>1041</v>
      </c>
      <c r="B173" s="322" t="s">
        <v>282</v>
      </c>
      <c r="C173" s="377">
        <v>4860</v>
      </c>
    </row>
    <row r="174" spans="1:3" x14ac:dyDescent="0.2">
      <c r="A174" s="375" t="s">
        <v>1042</v>
      </c>
      <c r="B174" s="322" t="s">
        <v>848</v>
      </c>
      <c r="C174" s="378">
        <v>329600</v>
      </c>
    </row>
    <row r="175" spans="1:3" x14ac:dyDescent="0.2">
      <c r="A175" s="375" t="s">
        <v>1160</v>
      </c>
      <c r="B175" s="322" t="s">
        <v>1161</v>
      </c>
      <c r="C175" s="379">
        <v>128333.33749999999</v>
      </c>
    </row>
    <row r="176" spans="1:3" x14ac:dyDescent="0.2">
      <c r="A176" s="375" t="s">
        <v>1043</v>
      </c>
      <c r="B176" s="322" t="s">
        <v>849</v>
      </c>
      <c r="C176" s="377">
        <v>55980</v>
      </c>
    </row>
    <row r="177" spans="1:7" x14ac:dyDescent="0.2">
      <c r="A177" s="375" t="s">
        <v>1162</v>
      </c>
      <c r="B177" s="322" t="s">
        <v>1163</v>
      </c>
      <c r="C177" s="379">
        <v>55000</v>
      </c>
    </row>
    <row r="178" spans="1:7" x14ac:dyDescent="0.2">
      <c r="A178" s="375" t="s">
        <v>1044</v>
      </c>
      <c r="B178" s="322" t="s">
        <v>850</v>
      </c>
      <c r="C178" s="377">
        <v>4800</v>
      </c>
    </row>
    <row r="179" spans="1:7" x14ac:dyDescent="0.2">
      <c r="A179" s="375" t="s">
        <v>1164</v>
      </c>
      <c r="B179" s="322" t="s">
        <v>1165</v>
      </c>
      <c r="C179" s="379">
        <v>10000</v>
      </c>
    </row>
    <row r="180" spans="1:7" x14ac:dyDescent="0.2">
      <c r="A180" s="375" t="s">
        <v>1166</v>
      </c>
      <c r="B180" s="322" t="s">
        <v>1167</v>
      </c>
      <c r="C180" s="379">
        <v>1312.5</v>
      </c>
    </row>
    <row r="181" spans="1:7" x14ac:dyDescent="0.2">
      <c r="A181" s="375" t="s">
        <v>1168</v>
      </c>
      <c r="B181" s="322" t="s">
        <v>1169</v>
      </c>
      <c r="C181" s="379">
        <v>300468.75</v>
      </c>
      <c r="E181" s="373" t="s">
        <v>1168</v>
      </c>
      <c r="F181" s="373" t="s">
        <v>1169</v>
      </c>
      <c r="G181" s="374">
        <v>266880</v>
      </c>
    </row>
    <row r="182" spans="1:7" x14ac:dyDescent="0.2">
      <c r="A182" s="375" t="s">
        <v>1045</v>
      </c>
      <c r="B182" s="322" t="s">
        <v>660</v>
      </c>
      <c r="C182" s="377">
        <v>34599.998000000043</v>
      </c>
    </row>
    <row r="183" spans="1:7" x14ac:dyDescent="0.2">
      <c r="A183" s="375" t="s">
        <v>1170</v>
      </c>
      <c r="B183" s="322" t="s">
        <v>1171</v>
      </c>
      <c r="C183" s="379">
        <v>5968.75</v>
      </c>
    </row>
    <row r="184" spans="1:7" x14ac:dyDescent="0.2">
      <c r="A184" s="375" t="s">
        <v>1172</v>
      </c>
      <c r="B184" s="322" t="s">
        <v>1173</v>
      </c>
      <c r="C184" s="379">
        <v>99000</v>
      </c>
    </row>
    <row r="185" spans="1:7" x14ac:dyDescent="0.2">
      <c r="A185" s="375" t="s">
        <v>1174</v>
      </c>
      <c r="B185" s="322" t="s">
        <v>1175</v>
      </c>
      <c r="C185" s="379">
        <v>19625</v>
      </c>
    </row>
    <row r="186" spans="1:7" x14ac:dyDescent="0.2">
      <c r="A186" s="375" t="s">
        <v>1176</v>
      </c>
      <c r="B186" s="322" t="s">
        <v>1177</v>
      </c>
      <c r="C186" s="379">
        <v>61500</v>
      </c>
    </row>
    <row r="187" spans="1:7" x14ac:dyDescent="0.2">
      <c r="A187" s="375" t="s">
        <v>1178</v>
      </c>
      <c r="B187" s="322" t="s">
        <v>1179</v>
      </c>
      <c r="C187" s="379">
        <v>15000</v>
      </c>
    </row>
    <row r="188" spans="1:7" x14ac:dyDescent="0.2">
      <c r="A188" s="375" t="s">
        <v>1180</v>
      </c>
      <c r="B188" s="322" t="s">
        <v>1181</v>
      </c>
      <c r="C188" s="379">
        <v>22500</v>
      </c>
    </row>
    <row r="189" spans="1:7" x14ac:dyDescent="0.2">
      <c r="A189" s="375" t="s">
        <v>1046</v>
      </c>
      <c r="B189" s="322" t="s">
        <v>851</v>
      </c>
      <c r="C189" s="377">
        <v>102000</v>
      </c>
    </row>
    <row r="190" spans="1:7" x14ac:dyDescent="0.2">
      <c r="A190" s="375" t="s">
        <v>1182</v>
      </c>
      <c r="B190" s="322" t="s">
        <v>1183</v>
      </c>
      <c r="C190" s="379">
        <v>56250</v>
      </c>
    </row>
    <row r="191" spans="1:7" x14ac:dyDescent="0.2">
      <c r="A191" s="375" t="s">
        <v>1184</v>
      </c>
      <c r="B191" s="322" t="s">
        <v>1185</v>
      </c>
      <c r="C191" s="379">
        <v>1250</v>
      </c>
    </row>
    <row r="192" spans="1:7" x14ac:dyDescent="0.2">
      <c r="A192" s="375" t="s">
        <v>1047</v>
      </c>
      <c r="B192" s="322" t="s">
        <v>852</v>
      </c>
      <c r="C192" s="377">
        <v>43719.999999999956</v>
      </c>
    </row>
    <row r="193" spans="1:3" x14ac:dyDescent="0.2">
      <c r="A193" s="375" t="s">
        <v>1186</v>
      </c>
      <c r="B193" s="322" t="s">
        <v>1187</v>
      </c>
      <c r="C193" s="379">
        <v>65000</v>
      </c>
    </row>
    <row r="194" spans="1:3" x14ac:dyDescent="0.2">
      <c r="A194" s="375" t="s">
        <v>1048</v>
      </c>
      <c r="B194" s="322" t="s">
        <v>853</v>
      </c>
      <c r="C194" s="377">
        <v>125040</v>
      </c>
    </row>
    <row r="195" spans="1:3" x14ac:dyDescent="0.2">
      <c r="A195" s="375" t="s">
        <v>1049</v>
      </c>
      <c r="B195" s="322" t="s">
        <v>854</v>
      </c>
      <c r="C195" s="377">
        <v>39599.999999999876</v>
      </c>
    </row>
    <row r="196" spans="1:3" x14ac:dyDescent="0.2">
      <c r="A196" s="375" t="s">
        <v>1188</v>
      </c>
      <c r="B196" s="322" t="s">
        <v>1189</v>
      </c>
      <c r="C196" s="379">
        <v>96125</v>
      </c>
    </row>
    <row r="197" spans="1:3" x14ac:dyDescent="0.2">
      <c r="A197" s="375" t="s">
        <v>1190</v>
      </c>
      <c r="B197" s="322" t="s">
        <v>1191</v>
      </c>
      <c r="C197" s="379">
        <v>18125</v>
      </c>
    </row>
    <row r="198" spans="1:3" x14ac:dyDescent="0.2">
      <c r="A198" s="375" t="s">
        <v>1192</v>
      </c>
      <c r="B198" s="322" t="s">
        <v>1193</v>
      </c>
      <c r="C198" s="379">
        <v>8125</v>
      </c>
    </row>
    <row r="199" spans="1:3" x14ac:dyDescent="0.2">
      <c r="A199" s="375" t="s">
        <v>1194</v>
      </c>
      <c r="B199" s="322" t="s">
        <v>1195</v>
      </c>
      <c r="C199" s="379">
        <v>136562.5</v>
      </c>
    </row>
    <row r="200" spans="1:3" x14ac:dyDescent="0.2">
      <c r="A200" s="375" t="s">
        <v>1050</v>
      </c>
      <c r="B200" s="322" t="s">
        <v>855</v>
      </c>
      <c r="C200" s="377">
        <v>9600</v>
      </c>
    </row>
    <row r="201" spans="1:3" x14ac:dyDescent="0.2">
      <c r="A201" s="375" t="s">
        <v>1196</v>
      </c>
      <c r="B201" s="322" t="s">
        <v>1197</v>
      </c>
      <c r="C201" s="379">
        <v>224312.5</v>
      </c>
    </row>
    <row r="202" spans="1:3" x14ac:dyDescent="0.2">
      <c r="A202" s="375" t="s">
        <v>1198</v>
      </c>
      <c r="B202" s="322" t="s">
        <v>1199</v>
      </c>
      <c r="C202" s="379">
        <v>122843.75</v>
      </c>
    </row>
    <row r="203" spans="1:3" x14ac:dyDescent="0.2">
      <c r="A203" s="375" t="s">
        <v>1200</v>
      </c>
      <c r="B203" s="322" t="s">
        <v>1201</v>
      </c>
      <c r="C203" s="379">
        <v>12500</v>
      </c>
    </row>
    <row r="204" spans="1:3" x14ac:dyDescent="0.2">
      <c r="A204" s="375" t="s">
        <v>1202</v>
      </c>
      <c r="B204" s="322" t="s">
        <v>1203</v>
      </c>
      <c r="C204" s="379">
        <v>65000</v>
      </c>
    </row>
    <row r="205" spans="1:3" x14ac:dyDescent="0.2">
      <c r="A205" s="375" t="s">
        <v>1204</v>
      </c>
      <c r="B205" s="322" t="s">
        <v>1205</v>
      </c>
      <c r="C205" s="379">
        <v>14375</v>
      </c>
    </row>
    <row r="206" spans="1:3" x14ac:dyDescent="0.2">
      <c r="A206" s="375" t="s">
        <v>1206</v>
      </c>
      <c r="B206" s="322" t="s">
        <v>1207</v>
      </c>
      <c r="C206" s="379">
        <v>386062.5</v>
      </c>
    </row>
    <row r="207" spans="1:3" x14ac:dyDescent="0.2">
      <c r="A207" s="375" t="s">
        <v>1051</v>
      </c>
      <c r="B207" s="322" t="s">
        <v>856</v>
      </c>
      <c r="C207" s="377">
        <v>3540</v>
      </c>
    </row>
    <row r="208" spans="1:3" x14ac:dyDescent="0.2">
      <c r="A208" s="375" t="s">
        <v>1208</v>
      </c>
      <c r="B208" s="322" t="s">
        <v>1209</v>
      </c>
      <c r="C208" s="379">
        <v>85125</v>
      </c>
    </row>
    <row r="209" spans="1:3" x14ac:dyDescent="0.2">
      <c r="A209" s="375" t="s">
        <v>1210</v>
      </c>
      <c r="B209" s="322" t="s">
        <v>1211</v>
      </c>
      <c r="C209" s="379">
        <v>11250</v>
      </c>
    </row>
    <row r="210" spans="1:3" x14ac:dyDescent="0.2">
      <c r="A210" s="375" t="s">
        <v>1212</v>
      </c>
      <c r="B210" s="322" t="s">
        <v>1213</v>
      </c>
      <c r="C210" s="379">
        <v>10000</v>
      </c>
    </row>
    <row r="211" spans="1:3" x14ac:dyDescent="0.2">
      <c r="A211" s="375" t="s">
        <v>1214</v>
      </c>
      <c r="B211" s="322" t="s">
        <v>1215</v>
      </c>
      <c r="C211" s="379">
        <v>28250</v>
      </c>
    </row>
    <row r="212" spans="1:3" x14ac:dyDescent="0.2">
      <c r="A212" s="375" t="s">
        <v>1216</v>
      </c>
      <c r="B212" s="322" t="s">
        <v>1217</v>
      </c>
      <c r="C212" s="379">
        <v>15750</v>
      </c>
    </row>
    <row r="213" spans="1:3" x14ac:dyDescent="0.2">
      <c r="A213" s="375" t="s">
        <v>1218</v>
      </c>
      <c r="B213" s="322" t="s">
        <v>1219</v>
      </c>
      <c r="C213" s="379">
        <v>43437.5</v>
      </c>
    </row>
    <row r="214" spans="1:3" x14ac:dyDescent="0.2">
      <c r="A214" s="375" t="s">
        <v>1220</v>
      </c>
      <c r="B214" s="322" t="s">
        <v>1221</v>
      </c>
      <c r="C214" s="379">
        <v>3125</v>
      </c>
    </row>
    <row r="215" spans="1:3" x14ac:dyDescent="0.2">
      <c r="A215" s="375" t="s">
        <v>1222</v>
      </c>
      <c r="B215" s="322" t="s">
        <v>1223</v>
      </c>
      <c r="C215" s="379">
        <v>56250</v>
      </c>
    </row>
    <row r="216" spans="1:3" x14ac:dyDescent="0.2">
      <c r="A216" s="375" t="s">
        <v>1224</v>
      </c>
      <c r="B216" s="322" t="s">
        <v>1225</v>
      </c>
      <c r="C216" s="379">
        <v>20625</v>
      </c>
    </row>
    <row r="217" spans="1:3" x14ac:dyDescent="0.2">
      <c r="A217" s="375" t="s">
        <v>1226</v>
      </c>
      <c r="B217" s="322" t="s">
        <v>1227</v>
      </c>
      <c r="C217" s="379">
        <v>15625</v>
      </c>
    </row>
    <row r="218" spans="1:3" x14ac:dyDescent="0.2">
      <c r="A218" s="375" t="s">
        <v>1228</v>
      </c>
      <c r="B218" s="322" t="s">
        <v>1229</v>
      </c>
      <c r="C218" s="379">
        <v>233750</v>
      </c>
    </row>
    <row r="219" spans="1:3" x14ac:dyDescent="0.2">
      <c r="A219" s="375" t="s">
        <v>1230</v>
      </c>
      <c r="B219" s="322" t="s">
        <v>1231</v>
      </c>
      <c r="C219" s="379">
        <v>21250</v>
      </c>
    </row>
    <row r="220" spans="1:3" x14ac:dyDescent="0.2">
      <c r="A220" s="375" t="s">
        <v>1232</v>
      </c>
      <c r="B220" s="322" t="s">
        <v>1233</v>
      </c>
      <c r="C220" s="379">
        <v>200125</v>
      </c>
    </row>
    <row r="221" spans="1:3" x14ac:dyDescent="0.2">
      <c r="A221" s="375" t="s">
        <v>1052</v>
      </c>
      <c r="B221" s="322" t="s">
        <v>857</v>
      </c>
      <c r="C221" s="377">
        <v>96480</v>
      </c>
    </row>
    <row r="222" spans="1:3" x14ac:dyDescent="0.2">
      <c r="A222" s="375" t="s">
        <v>1234</v>
      </c>
      <c r="B222" s="322" t="s">
        <v>1235</v>
      </c>
      <c r="C222" s="379">
        <v>63062.5</v>
      </c>
    </row>
    <row r="223" spans="1:3" x14ac:dyDescent="0.2">
      <c r="A223" s="375" t="s">
        <v>1236</v>
      </c>
      <c r="B223" s="322" t="s">
        <v>1237</v>
      </c>
      <c r="C223" s="379">
        <v>2187.5</v>
      </c>
    </row>
    <row r="224" spans="1:3" x14ac:dyDescent="0.2">
      <c r="A224" s="375" t="s">
        <v>1053</v>
      </c>
      <c r="B224" s="322" t="s">
        <v>858</v>
      </c>
      <c r="C224" s="377">
        <v>11400</v>
      </c>
    </row>
    <row r="225" spans="1:3" x14ac:dyDescent="0.2">
      <c r="A225" s="375" t="s">
        <v>1238</v>
      </c>
      <c r="B225" s="322" t="s">
        <v>1239</v>
      </c>
      <c r="C225" s="379">
        <v>602625</v>
      </c>
    </row>
    <row r="226" spans="1:3" x14ac:dyDescent="0.2">
      <c r="A226" s="375" t="s">
        <v>1240</v>
      </c>
      <c r="B226" s="322" t="s">
        <v>1241</v>
      </c>
      <c r="C226" s="379">
        <v>6125</v>
      </c>
    </row>
    <row r="227" spans="1:3" x14ac:dyDescent="0.2">
      <c r="A227" s="375" t="s">
        <v>1054</v>
      </c>
      <c r="B227" s="322" t="s">
        <v>859</v>
      </c>
      <c r="C227" s="377">
        <v>7800</v>
      </c>
    </row>
    <row r="228" spans="1:3" x14ac:dyDescent="0.2">
      <c r="A228" s="375" t="s">
        <v>1055</v>
      </c>
      <c r="B228" s="322" t="s">
        <v>860</v>
      </c>
      <c r="C228" s="377">
        <v>84000</v>
      </c>
    </row>
    <row r="229" spans="1:3" x14ac:dyDescent="0.2">
      <c r="A229" s="375" t="s">
        <v>1056</v>
      </c>
      <c r="B229" s="322" t="s">
        <v>861</v>
      </c>
      <c r="C229" s="377">
        <v>26040</v>
      </c>
    </row>
    <row r="230" spans="1:3" x14ac:dyDescent="0.2">
      <c r="A230" s="375" t="s">
        <v>1057</v>
      </c>
      <c r="B230" s="322" t="s">
        <v>862</v>
      </c>
      <c r="C230" s="377">
        <v>1200</v>
      </c>
    </row>
    <row r="231" spans="1:3" x14ac:dyDescent="0.2">
      <c r="A231" s="375" t="s">
        <v>1242</v>
      </c>
      <c r="B231" s="322" t="s">
        <v>1243</v>
      </c>
      <c r="C231" s="377">
        <v>5880</v>
      </c>
    </row>
    <row r="232" spans="1:3" x14ac:dyDescent="0.2">
      <c r="A232" s="375" t="s">
        <v>1058</v>
      </c>
      <c r="B232" s="322" t="s">
        <v>863</v>
      </c>
      <c r="C232" s="377">
        <v>1440</v>
      </c>
    </row>
    <row r="233" spans="1:3" x14ac:dyDescent="0.2">
      <c r="A233" s="375" t="s">
        <v>1059</v>
      </c>
      <c r="B233" s="322" t="s">
        <v>864</v>
      </c>
      <c r="C233" s="377">
        <v>1980</v>
      </c>
    </row>
    <row r="234" spans="1:3" x14ac:dyDescent="0.2">
      <c r="A234" s="375" t="s">
        <v>1060</v>
      </c>
      <c r="B234" s="322" t="s">
        <v>865</v>
      </c>
      <c r="C234" s="377">
        <v>42600</v>
      </c>
    </row>
    <row r="235" spans="1:3" x14ac:dyDescent="0.2">
      <c r="A235" s="375" t="s">
        <v>1244</v>
      </c>
      <c r="B235" s="322" t="s">
        <v>1245</v>
      </c>
      <c r="C235" s="379">
        <v>65500</v>
      </c>
    </row>
    <row r="236" spans="1:3" x14ac:dyDescent="0.2">
      <c r="A236" s="375" t="s">
        <v>1246</v>
      </c>
      <c r="B236" s="322" t="s">
        <v>1247</v>
      </c>
      <c r="C236" s="379">
        <v>34187.5</v>
      </c>
    </row>
    <row r="237" spans="1:3" x14ac:dyDescent="0.2">
      <c r="A237" s="375" t="s">
        <v>1248</v>
      </c>
      <c r="B237" s="322" t="s">
        <v>1249</v>
      </c>
      <c r="C237" s="379">
        <v>67000</v>
      </c>
    </row>
    <row r="238" spans="1:3" x14ac:dyDescent="0.2">
      <c r="A238" s="375" t="s">
        <v>1250</v>
      </c>
      <c r="B238" s="322" t="s">
        <v>1251</v>
      </c>
      <c r="C238" s="379">
        <v>12500</v>
      </c>
    </row>
    <row r="239" spans="1:3" x14ac:dyDescent="0.2">
      <c r="A239" s="375" t="s">
        <v>1252</v>
      </c>
      <c r="B239" s="322" t="s">
        <v>1253</v>
      </c>
      <c r="C239" s="379">
        <v>307200</v>
      </c>
    </row>
    <row r="240" spans="1:3" ht="15" x14ac:dyDescent="0.25">
      <c r="A240" s="3" t="s">
        <v>1096</v>
      </c>
      <c r="B240" s="376" t="s">
        <v>1443</v>
      </c>
      <c r="C240" s="380">
        <v>411955</v>
      </c>
    </row>
    <row r="241" spans="1:7" x14ac:dyDescent="0.2">
      <c r="A241" s="375" t="s">
        <v>1254</v>
      </c>
      <c r="B241" s="322" t="s">
        <v>1255</v>
      </c>
      <c r="C241" s="379">
        <v>566250</v>
      </c>
    </row>
    <row r="242" spans="1:7" x14ac:dyDescent="0.2">
      <c r="A242" s="375" t="s">
        <v>1061</v>
      </c>
      <c r="B242" s="322" t="s">
        <v>866</v>
      </c>
      <c r="C242" s="377">
        <v>78000</v>
      </c>
    </row>
    <row r="243" spans="1:7" x14ac:dyDescent="0.2">
      <c r="A243" s="375" t="s">
        <v>1256</v>
      </c>
      <c r="B243" s="322" t="s">
        <v>1257</v>
      </c>
      <c r="C243" s="379">
        <v>45172</v>
      </c>
    </row>
    <row r="244" spans="1:7" x14ac:dyDescent="0.2">
      <c r="A244" s="375" t="s">
        <v>1062</v>
      </c>
      <c r="B244" s="322" t="s">
        <v>867</v>
      </c>
      <c r="C244" s="377">
        <v>1980</v>
      </c>
    </row>
    <row r="245" spans="1:7" x14ac:dyDescent="0.2">
      <c r="A245" s="375" t="s">
        <v>1258</v>
      </c>
      <c r="B245" s="322" t="s">
        <v>1259</v>
      </c>
      <c r="C245" s="379">
        <v>4945</v>
      </c>
    </row>
    <row r="246" spans="1:7" x14ac:dyDescent="0.2">
      <c r="A246" s="375" t="s">
        <v>1063</v>
      </c>
      <c r="B246" s="322" t="s">
        <v>868</v>
      </c>
      <c r="C246" s="377">
        <v>12100.8</v>
      </c>
    </row>
    <row r="247" spans="1:7" x14ac:dyDescent="0.2">
      <c r="A247" s="375" t="s">
        <v>1064</v>
      </c>
      <c r="B247" s="322" t="s">
        <v>869</v>
      </c>
      <c r="C247" s="377">
        <v>3025.2</v>
      </c>
    </row>
    <row r="248" spans="1:7" x14ac:dyDescent="0.2">
      <c r="A248" t="s">
        <v>1507</v>
      </c>
      <c r="B248" s="322" t="s">
        <v>1508</v>
      </c>
      <c r="C248" s="377">
        <v>19800</v>
      </c>
      <c r="G248" s="325"/>
    </row>
    <row r="249" spans="1:7" x14ac:dyDescent="0.2">
      <c r="A249" t="s">
        <v>1509</v>
      </c>
      <c r="B249" s="322" t="s">
        <v>1510</v>
      </c>
      <c r="C249" s="377">
        <v>11400</v>
      </c>
      <c r="G249" s="325"/>
    </row>
    <row r="250" spans="1:7" x14ac:dyDescent="0.2">
      <c r="A250" t="s">
        <v>1511</v>
      </c>
      <c r="B250" s="322" t="s">
        <v>1512</v>
      </c>
      <c r="C250" s="377">
        <v>11400</v>
      </c>
      <c r="G250" s="325"/>
    </row>
    <row r="251" spans="1:7" x14ac:dyDescent="0.2">
      <c r="A251" t="s">
        <v>1513</v>
      </c>
      <c r="B251" s="322" t="s">
        <v>1514</v>
      </c>
      <c r="C251" s="377">
        <v>11400</v>
      </c>
      <c r="G251" s="325"/>
    </row>
    <row r="252" spans="1:7" x14ac:dyDescent="0.2">
      <c r="A252" t="s">
        <v>1515</v>
      </c>
      <c r="B252" s="322" t="s">
        <v>1516</v>
      </c>
      <c r="C252" s="377">
        <v>11400</v>
      </c>
      <c r="G252" s="325"/>
    </row>
    <row r="253" spans="1:7" x14ac:dyDescent="0.2">
      <c r="A253" t="s">
        <v>1517</v>
      </c>
      <c r="B253" s="322" t="s">
        <v>1518</v>
      </c>
      <c r="C253" s="377">
        <v>30000</v>
      </c>
      <c r="G253" s="325"/>
    </row>
    <row r="254" spans="1:7" x14ac:dyDescent="0.2">
      <c r="A254" s="375" t="s">
        <v>1500</v>
      </c>
      <c r="B254" s="322" t="s">
        <v>1501</v>
      </c>
      <c r="C254" s="377">
        <v>11400</v>
      </c>
    </row>
    <row r="255" spans="1:7" x14ac:dyDescent="0.2">
      <c r="A255" t="s">
        <v>1519</v>
      </c>
      <c r="B255" s="322" t="s">
        <v>1520</v>
      </c>
      <c r="C255" s="377">
        <v>240</v>
      </c>
      <c r="G255" s="325"/>
    </row>
    <row r="256" spans="1:7" x14ac:dyDescent="0.2">
      <c r="A256" s="375" t="s">
        <v>1260</v>
      </c>
      <c r="B256" s="322" t="s">
        <v>1261</v>
      </c>
      <c r="C256" s="379">
        <v>21008.75</v>
      </c>
    </row>
    <row r="257" spans="1:7" x14ac:dyDescent="0.2">
      <c r="A257" s="375" t="s">
        <v>1474</v>
      </c>
      <c r="B257" s="322" t="s">
        <v>1475</v>
      </c>
      <c r="C257" s="379">
        <v>39500</v>
      </c>
    </row>
    <row r="258" spans="1:7" x14ac:dyDescent="0.2">
      <c r="A258" s="375" t="s">
        <v>1472</v>
      </c>
      <c r="B258" s="322" t="s">
        <v>1473</v>
      </c>
      <c r="C258" s="379">
        <v>65000</v>
      </c>
    </row>
    <row r="259" spans="1:7" x14ac:dyDescent="0.2">
      <c r="A259" s="375" t="s">
        <v>1470</v>
      </c>
      <c r="B259" s="322" t="s">
        <v>1471</v>
      </c>
      <c r="C259" s="379">
        <v>55000</v>
      </c>
    </row>
    <row r="260" spans="1:7" x14ac:dyDescent="0.2">
      <c r="A260" s="375" t="s">
        <v>1476</v>
      </c>
      <c r="B260" s="322" t="s">
        <v>1477</v>
      </c>
      <c r="C260" s="379">
        <v>70000</v>
      </c>
      <c r="G260" s="325"/>
    </row>
    <row r="261" spans="1:7" x14ac:dyDescent="0.2">
      <c r="A261" t="s">
        <v>1521</v>
      </c>
      <c r="B261" s="322" t="s">
        <v>1522</v>
      </c>
      <c r="C261" s="377">
        <v>4800</v>
      </c>
    </row>
    <row r="262" spans="1:7" x14ac:dyDescent="0.2">
      <c r="A262" t="s">
        <v>1523</v>
      </c>
      <c r="B262" s="322" t="s">
        <v>1524</v>
      </c>
      <c r="C262" s="377">
        <v>8400</v>
      </c>
    </row>
    <row r="263" spans="1:7" x14ac:dyDescent="0.2">
      <c r="A263" s="375" t="s">
        <v>1262</v>
      </c>
      <c r="B263" s="322" t="s">
        <v>1263</v>
      </c>
      <c r="C263" s="379">
        <v>1250</v>
      </c>
    </row>
    <row r="264" spans="1:7" x14ac:dyDescent="0.2">
      <c r="A264" s="375" t="s">
        <v>1264</v>
      </c>
      <c r="B264" s="322" t="s">
        <v>1265</v>
      </c>
      <c r="C264" s="379">
        <v>69598.215624999997</v>
      </c>
    </row>
    <row r="265" spans="1:7" x14ac:dyDescent="0.2">
      <c r="A265" s="375" t="s">
        <v>1065</v>
      </c>
      <c r="B265" s="322" t="s">
        <v>870</v>
      </c>
      <c r="C265" s="377">
        <v>21120</v>
      </c>
    </row>
    <row r="266" spans="1:7" x14ac:dyDescent="0.2">
      <c r="A266" s="375" t="s">
        <v>1066</v>
      </c>
      <c r="B266" s="322" t="s">
        <v>871</v>
      </c>
      <c r="C266" s="377">
        <v>27456</v>
      </c>
    </row>
    <row r="267" spans="1:7" x14ac:dyDescent="0.2">
      <c r="A267" s="375" t="s">
        <v>1266</v>
      </c>
      <c r="B267" s="322" t="s">
        <v>1267</v>
      </c>
      <c r="C267" s="379">
        <v>25000</v>
      </c>
    </row>
    <row r="268" spans="1:7" x14ac:dyDescent="0.2">
      <c r="A268" s="375" t="s">
        <v>1268</v>
      </c>
      <c r="B268" s="322" t="s">
        <v>1269</v>
      </c>
      <c r="C268" s="379">
        <v>4687.5</v>
      </c>
    </row>
    <row r="269" spans="1:7" x14ac:dyDescent="0.2">
      <c r="A269" s="375" t="s">
        <v>1067</v>
      </c>
      <c r="B269" s="322" t="s">
        <v>872</v>
      </c>
      <c r="C269" s="377">
        <v>5934</v>
      </c>
    </row>
    <row r="270" spans="1:7" x14ac:dyDescent="0.2">
      <c r="A270" s="375" t="s">
        <v>1270</v>
      </c>
      <c r="B270" s="322" t="s">
        <v>1271</v>
      </c>
      <c r="C270" s="379">
        <v>14625</v>
      </c>
    </row>
    <row r="271" spans="1:7" x14ac:dyDescent="0.2">
      <c r="A271" s="375" t="s">
        <v>1272</v>
      </c>
      <c r="B271" s="322" t="s">
        <v>1273</v>
      </c>
      <c r="C271" s="379">
        <v>2421250</v>
      </c>
    </row>
    <row r="272" spans="1:7" x14ac:dyDescent="0.2">
      <c r="A272" s="375" t="s">
        <v>1274</v>
      </c>
      <c r="B272" s="322" t="s">
        <v>1275</v>
      </c>
      <c r="C272" s="379">
        <v>1076250</v>
      </c>
    </row>
    <row r="273" spans="1:3" x14ac:dyDescent="0.2">
      <c r="A273" s="375" t="s">
        <v>1276</v>
      </c>
      <c r="B273" s="322" t="s">
        <v>1277</v>
      </c>
      <c r="C273" s="379">
        <v>7812.5</v>
      </c>
    </row>
    <row r="274" spans="1:3" x14ac:dyDescent="0.2">
      <c r="A274" s="375" t="s">
        <v>1068</v>
      </c>
      <c r="B274" s="322" t="s">
        <v>873</v>
      </c>
      <c r="C274" s="377">
        <v>3560.00000000004</v>
      </c>
    </row>
    <row r="275" spans="1:3" x14ac:dyDescent="0.2">
      <c r="A275" s="375" t="s">
        <v>1069</v>
      </c>
      <c r="B275" s="322" t="s">
        <v>874</v>
      </c>
      <c r="C275" s="377">
        <v>10800</v>
      </c>
    </row>
    <row r="276" spans="1:3" x14ac:dyDescent="0.2">
      <c r="A276" s="375" t="s">
        <v>1070</v>
      </c>
      <c r="B276" s="322" t="s">
        <v>875</v>
      </c>
      <c r="C276" s="377">
        <v>26400</v>
      </c>
    </row>
    <row r="277" spans="1:3" x14ac:dyDescent="0.2">
      <c r="A277" s="375" t="s">
        <v>1071</v>
      </c>
      <c r="B277" s="322" t="s">
        <v>876</v>
      </c>
      <c r="C277" s="377">
        <v>4080</v>
      </c>
    </row>
    <row r="278" spans="1:3" x14ac:dyDescent="0.2">
      <c r="A278" s="375" t="s">
        <v>1278</v>
      </c>
      <c r="B278" s="322" t="s">
        <v>1279</v>
      </c>
      <c r="C278" s="377">
        <v>25209.599999999999</v>
      </c>
    </row>
    <row r="279" spans="1:3" x14ac:dyDescent="0.2">
      <c r="A279" s="375" t="s">
        <v>1280</v>
      </c>
      <c r="B279" s="322" t="s">
        <v>1281</v>
      </c>
      <c r="C279" s="379">
        <v>15812.5</v>
      </c>
    </row>
    <row r="280" spans="1:3" x14ac:dyDescent="0.2">
      <c r="A280" s="375" t="s">
        <v>1282</v>
      </c>
      <c r="B280" s="322" t="s">
        <v>1283</v>
      </c>
      <c r="C280" s="379">
        <v>5863750</v>
      </c>
    </row>
    <row r="281" spans="1:3" x14ac:dyDescent="0.2">
      <c r="A281" s="375" t="s">
        <v>1284</v>
      </c>
      <c r="B281" s="322" t="s">
        <v>1285</v>
      </c>
      <c r="C281" s="379">
        <v>67000</v>
      </c>
    </row>
    <row r="282" spans="1:3" x14ac:dyDescent="0.2">
      <c r="A282" s="375" t="s">
        <v>1286</v>
      </c>
      <c r="B282" s="322" t="s">
        <v>1287</v>
      </c>
      <c r="C282" s="379">
        <v>1062.5</v>
      </c>
    </row>
    <row r="283" spans="1:3" x14ac:dyDescent="0.2">
      <c r="A283" s="375" t="s">
        <v>1288</v>
      </c>
      <c r="B283" s="322" t="s">
        <v>1289</v>
      </c>
      <c r="C283" s="379">
        <v>208250</v>
      </c>
    </row>
    <row r="284" spans="1:3" x14ac:dyDescent="0.2">
      <c r="A284" s="375" t="s">
        <v>1290</v>
      </c>
      <c r="B284" s="322" t="s">
        <v>1291</v>
      </c>
      <c r="C284" s="379">
        <v>375</v>
      </c>
    </row>
    <row r="285" spans="1:3" x14ac:dyDescent="0.2">
      <c r="A285" s="375" t="s">
        <v>1292</v>
      </c>
      <c r="B285" s="322" t="s">
        <v>1293</v>
      </c>
      <c r="C285" s="379">
        <v>500</v>
      </c>
    </row>
    <row r="286" spans="1:3" x14ac:dyDescent="0.2">
      <c r="A286" s="375" t="s">
        <v>1294</v>
      </c>
      <c r="B286" s="322" t="s">
        <v>1295</v>
      </c>
      <c r="C286" s="379">
        <v>25000</v>
      </c>
    </row>
    <row r="287" spans="1:3" x14ac:dyDescent="0.2">
      <c r="A287" s="375" t="s">
        <v>1296</v>
      </c>
      <c r="B287" s="322" t="s">
        <v>1297</v>
      </c>
      <c r="C287" s="379">
        <v>75000</v>
      </c>
    </row>
    <row r="288" spans="1:3" x14ac:dyDescent="0.2">
      <c r="A288" s="375" t="s">
        <v>1298</v>
      </c>
      <c r="B288" s="322" t="s">
        <v>1299</v>
      </c>
      <c r="C288" s="379">
        <v>10000</v>
      </c>
    </row>
    <row r="289" spans="1:3" x14ac:dyDescent="0.2">
      <c r="A289" s="375" t="s">
        <v>1300</v>
      </c>
      <c r="B289" s="322" t="s">
        <v>1301</v>
      </c>
      <c r="C289" s="379">
        <v>25357.142857142859</v>
      </c>
    </row>
    <row r="290" spans="1:3" x14ac:dyDescent="0.2">
      <c r="A290" s="375" t="s">
        <v>1302</v>
      </c>
      <c r="B290" s="322" t="s">
        <v>1303</v>
      </c>
      <c r="C290" s="379">
        <v>53500</v>
      </c>
    </row>
    <row r="291" spans="1:3" x14ac:dyDescent="0.2">
      <c r="A291" s="375" t="s">
        <v>1304</v>
      </c>
      <c r="B291" s="322" t="s">
        <v>1305</v>
      </c>
      <c r="C291" s="379">
        <v>291250</v>
      </c>
    </row>
    <row r="292" spans="1:3" x14ac:dyDescent="0.2">
      <c r="A292" s="375" t="s">
        <v>1306</v>
      </c>
      <c r="B292" s="322" t="s">
        <v>1307</v>
      </c>
      <c r="C292" s="379">
        <v>60000</v>
      </c>
    </row>
    <row r="293" spans="1:3" x14ac:dyDescent="0.2">
      <c r="A293" s="375" t="s">
        <v>1308</v>
      </c>
      <c r="B293" s="322" t="s">
        <v>1309</v>
      </c>
      <c r="C293" s="379">
        <v>4218.75</v>
      </c>
    </row>
    <row r="294" spans="1:3" x14ac:dyDescent="0.2">
      <c r="A294" s="375" t="s">
        <v>1310</v>
      </c>
      <c r="B294" s="322" t="s">
        <v>1311</v>
      </c>
      <c r="C294" s="379">
        <v>4687.5</v>
      </c>
    </row>
    <row r="295" spans="1:3" x14ac:dyDescent="0.2">
      <c r="A295" s="375" t="s">
        <v>1312</v>
      </c>
      <c r="B295" s="322" t="s">
        <v>1313</v>
      </c>
      <c r="C295" s="379">
        <v>54375</v>
      </c>
    </row>
    <row r="296" spans="1:3" x14ac:dyDescent="0.2">
      <c r="A296" s="375" t="s">
        <v>1314</v>
      </c>
      <c r="B296" s="322" t="s">
        <v>1315</v>
      </c>
      <c r="C296" s="379">
        <v>5125</v>
      </c>
    </row>
    <row r="297" spans="1:3" x14ac:dyDescent="0.2">
      <c r="A297" s="375" t="s">
        <v>1316</v>
      </c>
      <c r="B297" s="322" t="s">
        <v>1317</v>
      </c>
      <c r="C297" s="379">
        <v>7125</v>
      </c>
    </row>
    <row r="298" spans="1:3" x14ac:dyDescent="0.2">
      <c r="A298" s="375" t="s">
        <v>1318</v>
      </c>
      <c r="B298" s="322" t="s">
        <v>1319</v>
      </c>
      <c r="C298" s="379">
        <v>67041.666666666672</v>
      </c>
    </row>
    <row r="299" spans="1:3" x14ac:dyDescent="0.2">
      <c r="A299" s="375" t="s">
        <v>1320</v>
      </c>
      <c r="B299" s="322" t="s">
        <v>1321</v>
      </c>
      <c r="C299" s="379">
        <v>600000</v>
      </c>
    </row>
    <row r="300" spans="1:3" x14ac:dyDescent="0.2">
      <c r="A300" s="375" t="s">
        <v>1322</v>
      </c>
      <c r="B300" s="322" t="s">
        <v>1323</v>
      </c>
      <c r="C300" s="379">
        <v>2545625</v>
      </c>
    </row>
    <row r="301" spans="1:3" x14ac:dyDescent="0.2">
      <c r="A301" s="375" t="s">
        <v>1324</v>
      </c>
      <c r="B301" s="322" t="s">
        <v>1325</v>
      </c>
      <c r="C301" s="379">
        <v>157125</v>
      </c>
    </row>
    <row r="302" spans="1:3" x14ac:dyDescent="0.2">
      <c r="A302" s="375" t="s">
        <v>1326</v>
      </c>
      <c r="B302" s="322" t="s">
        <v>1327</v>
      </c>
      <c r="C302" s="379">
        <v>4687.5</v>
      </c>
    </row>
    <row r="303" spans="1:3" x14ac:dyDescent="0.2">
      <c r="A303" s="375" t="s">
        <v>1072</v>
      </c>
      <c r="B303" s="322" t="s">
        <v>877</v>
      </c>
      <c r="C303" s="377">
        <v>45600</v>
      </c>
    </row>
    <row r="304" spans="1:3" x14ac:dyDescent="0.2">
      <c r="A304" s="375" t="s">
        <v>1328</v>
      </c>
      <c r="B304" s="322" t="s">
        <v>1329</v>
      </c>
      <c r="C304" s="379">
        <v>63500</v>
      </c>
    </row>
    <row r="305" spans="1:3" x14ac:dyDescent="0.2">
      <c r="A305" s="375" t="s">
        <v>1330</v>
      </c>
      <c r="B305" s="322" t="s">
        <v>1331</v>
      </c>
      <c r="C305" s="379">
        <v>241875</v>
      </c>
    </row>
    <row r="306" spans="1:3" x14ac:dyDescent="0.2">
      <c r="A306" s="375" t="s">
        <v>1332</v>
      </c>
      <c r="B306" s="322" t="s">
        <v>1333</v>
      </c>
      <c r="C306" s="379">
        <v>150000</v>
      </c>
    </row>
    <row r="307" spans="1:3" x14ac:dyDescent="0.2">
      <c r="A307" s="375" t="s">
        <v>1334</v>
      </c>
      <c r="B307" s="322" t="s">
        <v>1335</v>
      </c>
      <c r="C307" s="379">
        <v>515000</v>
      </c>
    </row>
    <row r="308" spans="1:3" x14ac:dyDescent="0.2">
      <c r="A308" s="375" t="s">
        <v>1336</v>
      </c>
      <c r="B308" s="322" t="s">
        <v>1337</v>
      </c>
      <c r="C308" s="379">
        <v>2941250</v>
      </c>
    </row>
    <row r="309" spans="1:3" x14ac:dyDescent="0.2">
      <c r="A309" s="375" t="s">
        <v>1338</v>
      </c>
      <c r="B309" s="322" t="s">
        <v>1339</v>
      </c>
      <c r="C309" s="379">
        <v>7750</v>
      </c>
    </row>
    <row r="310" spans="1:3" x14ac:dyDescent="0.2">
      <c r="A310" s="375" t="s">
        <v>1340</v>
      </c>
      <c r="B310" s="322" t="s">
        <v>1341</v>
      </c>
      <c r="C310" s="379">
        <v>47500</v>
      </c>
    </row>
    <row r="311" spans="1:3" x14ac:dyDescent="0.2">
      <c r="A311" s="375" t="s">
        <v>1342</v>
      </c>
      <c r="B311" s="322" t="s">
        <v>1343</v>
      </c>
      <c r="C311" s="379">
        <v>340000</v>
      </c>
    </row>
    <row r="312" spans="1:3" x14ac:dyDescent="0.2">
      <c r="A312" s="375" t="s">
        <v>1073</v>
      </c>
      <c r="B312" s="322" t="s">
        <v>878</v>
      </c>
      <c r="C312" s="377">
        <v>4680</v>
      </c>
    </row>
    <row r="313" spans="1:3" x14ac:dyDescent="0.2">
      <c r="A313" s="375" t="s">
        <v>1074</v>
      </c>
      <c r="B313" s="322" t="s">
        <v>879</v>
      </c>
      <c r="C313" s="377">
        <v>8760</v>
      </c>
    </row>
    <row r="314" spans="1:3" x14ac:dyDescent="0.2">
      <c r="A314" s="375" t="s">
        <v>1075</v>
      </c>
      <c r="B314" s="322" t="s">
        <v>880</v>
      </c>
      <c r="C314" s="377">
        <v>2400</v>
      </c>
    </row>
    <row r="315" spans="1:3" x14ac:dyDescent="0.2">
      <c r="A315" s="375" t="s">
        <v>1344</v>
      </c>
      <c r="B315" s="322" t="s">
        <v>1345</v>
      </c>
      <c r="C315" s="379">
        <v>31562.5</v>
      </c>
    </row>
    <row r="316" spans="1:3" x14ac:dyDescent="0.2">
      <c r="A316" s="375" t="s">
        <v>1346</v>
      </c>
      <c r="B316" s="322" t="s">
        <v>1347</v>
      </c>
      <c r="C316" s="379">
        <v>345312.5</v>
      </c>
    </row>
    <row r="317" spans="1:3" x14ac:dyDescent="0.2">
      <c r="A317" s="375" t="s">
        <v>1348</v>
      </c>
      <c r="B317" s="322" t="s">
        <v>1349</v>
      </c>
      <c r="C317" s="379">
        <v>4750</v>
      </c>
    </row>
    <row r="318" spans="1:3" x14ac:dyDescent="0.2">
      <c r="A318" s="375" t="s">
        <v>1350</v>
      </c>
      <c r="B318" s="322" t="s">
        <v>1351</v>
      </c>
      <c r="C318" s="379">
        <v>10538.6875</v>
      </c>
    </row>
    <row r="319" spans="1:3" x14ac:dyDescent="0.2">
      <c r="A319" s="375" t="s">
        <v>1076</v>
      </c>
      <c r="B319" s="322" t="s">
        <v>163</v>
      </c>
      <c r="C319" s="377">
        <v>34084.800000000003</v>
      </c>
    </row>
    <row r="320" spans="1:3" x14ac:dyDescent="0.2">
      <c r="A320" s="375" t="s">
        <v>1077</v>
      </c>
      <c r="B320" s="322" t="s">
        <v>881</v>
      </c>
      <c r="C320" s="377">
        <v>60934.856571428521</v>
      </c>
    </row>
    <row r="321" spans="1:3" x14ac:dyDescent="0.2">
      <c r="A321" s="375" t="s">
        <v>1352</v>
      </c>
      <c r="B321" s="322" t="s">
        <v>1353</v>
      </c>
      <c r="C321" s="379">
        <v>131250</v>
      </c>
    </row>
    <row r="322" spans="1:3" x14ac:dyDescent="0.2">
      <c r="A322" s="375" t="s">
        <v>1078</v>
      </c>
      <c r="B322" s="322" t="s">
        <v>882</v>
      </c>
      <c r="C322" s="377">
        <v>55040.00099999988</v>
      </c>
    </row>
    <row r="323" spans="1:3" x14ac:dyDescent="0.2">
      <c r="A323" s="375" t="s">
        <v>1079</v>
      </c>
      <c r="B323" s="322" t="s">
        <v>883</v>
      </c>
      <c r="C323" s="377">
        <v>67200</v>
      </c>
    </row>
    <row r="324" spans="1:3" x14ac:dyDescent="0.2">
      <c r="A324" s="375" t="s">
        <v>1080</v>
      </c>
      <c r="B324" s="322" t="s">
        <v>884</v>
      </c>
      <c r="C324" s="377">
        <v>107867.44500835692</v>
      </c>
    </row>
    <row r="325" spans="1:3" x14ac:dyDescent="0.2">
      <c r="A325" s="375" t="s">
        <v>1081</v>
      </c>
      <c r="B325" s="322" t="s">
        <v>885</v>
      </c>
      <c r="C325" s="377">
        <v>368400</v>
      </c>
    </row>
    <row r="326" spans="1:3" x14ac:dyDescent="0.2">
      <c r="A326" s="375" t="s">
        <v>1082</v>
      </c>
      <c r="B326" s="322" t="s">
        <v>886</v>
      </c>
      <c r="C326" s="377">
        <v>420</v>
      </c>
    </row>
    <row r="327" spans="1:3" x14ac:dyDescent="0.2">
      <c r="A327" s="375" t="s">
        <v>1083</v>
      </c>
      <c r="B327" s="322" t="s">
        <v>887</v>
      </c>
      <c r="C327" s="377">
        <v>240</v>
      </c>
    </row>
    <row r="328" spans="1:3" x14ac:dyDescent="0.2">
      <c r="A328" s="375" t="s">
        <v>1354</v>
      </c>
      <c r="B328" s="322" t="s">
        <v>1444</v>
      </c>
      <c r="C328" s="379">
        <v>250</v>
      </c>
    </row>
    <row r="329" spans="1:3" x14ac:dyDescent="0.2">
      <c r="A329" s="375" t="s">
        <v>1355</v>
      </c>
      <c r="B329" s="322" t="s">
        <v>1445</v>
      </c>
      <c r="C329" s="379">
        <v>250</v>
      </c>
    </row>
    <row r="330" spans="1:3" x14ac:dyDescent="0.2">
      <c r="A330" s="375" t="s">
        <v>1356</v>
      </c>
      <c r="B330" s="322" t="s">
        <v>1357</v>
      </c>
      <c r="C330" s="379">
        <v>411050</v>
      </c>
    </row>
    <row r="331" spans="1:3" x14ac:dyDescent="0.2">
      <c r="A331" s="375" t="s">
        <v>1084</v>
      </c>
      <c r="B331" s="322" t="s">
        <v>888</v>
      </c>
      <c r="C331" s="377">
        <v>1020</v>
      </c>
    </row>
    <row r="332" spans="1:3" x14ac:dyDescent="0.2">
      <c r="A332" s="375" t="s">
        <v>1358</v>
      </c>
      <c r="B332" s="322" t="s">
        <v>1359</v>
      </c>
      <c r="C332" s="379">
        <v>39390</v>
      </c>
    </row>
    <row r="333" spans="1:3" x14ac:dyDescent="0.2">
      <c r="A333" s="375" t="s">
        <v>1360</v>
      </c>
      <c r="B333" s="322" t="s">
        <v>1361</v>
      </c>
      <c r="C333" s="379">
        <v>15138.3375</v>
      </c>
    </row>
    <row r="334" spans="1:3" x14ac:dyDescent="0.2">
      <c r="A334" s="375" t="s">
        <v>1362</v>
      </c>
      <c r="B334" s="322" t="s">
        <v>1363</v>
      </c>
      <c r="C334" s="379">
        <v>273333.33333333331</v>
      </c>
    </row>
    <row r="335" spans="1:3" x14ac:dyDescent="0.2">
      <c r="A335" s="375" t="s">
        <v>1364</v>
      </c>
      <c r="B335" s="322" t="s">
        <v>1365</v>
      </c>
      <c r="C335" s="379">
        <v>8781.25</v>
      </c>
    </row>
    <row r="336" spans="1:3" x14ac:dyDescent="0.2">
      <c r="A336" s="375" t="s">
        <v>1085</v>
      </c>
      <c r="B336" s="322" t="s">
        <v>889</v>
      </c>
      <c r="C336" s="377">
        <v>7620</v>
      </c>
    </row>
    <row r="337" spans="1:7" x14ac:dyDescent="0.2">
      <c r="A337" s="375" t="s">
        <v>1086</v>
      </c>
      <c r="B337" s="322" t="s">
        <v>890</v>
      </c>
      <c r="C337" s="377">
        <v>29280</v>
      </c>
    </row>
    <row r="338" spans="1:7" x14ac:dyDescent="0.2">
      <c r="A338" t="s">
        <v>1525</v>
      </c>
      <c r="B338" s="322" t="s">
        <v>1526</v>
      </c>
      <c r="C338" s="377">
        <v>7620</v>
      </c>
      <c r="G338" s="325"/>
    </row>
    <row r="339" spans="1:7" x14ac:dyDescent="0.2">
      <c r="A339" s="375" t="s">
        <v>1087</v>
      </c>
      <c r="B339" s="322" t="s">
        <v>891</v>
      </c>
      <c r="C339" s="377">
        <v>6300</v>
      </c>
    </row>
    <row r="340" spans="1:7" x14ac:dyDescent="0.2">
      <c r="A340" s="375" t="s">
        <v>1366</v>
      </c>
      <c r="B340" s="322" t="s">
        <v>1367</v>
      </c>
      <c r="C340" s="379">
        <v>9700</v>
      </c>
    </row>
    <row r="341" spans="1:7" x14ac:dyDescent="0.2">
      <c r="A341" s="375" t="s">
        <v>1368</v>
      </c>
      <c r="B341" s="322" t="s">
        <v>1369</v>
      </c>
      <c r="C341" s="379">
        <v>9468.75</v>
      </c>
    </row>
    <row r="342" spans="1:7" x14ac:dyDescent="0.2">
      <c r="A342" t="s">
        <v>1527</v>
      </c>
      <c r="B342" s="322" t="s">
        <v>1528</v>
      </c>
      <c r="C342" s="377">
        <v>360</v>
      </c>
    </row>
    <row r="343" spans="1:7" x14ac:dyDescent="0.2">
      <c r="A343" s="375" t="s">
        <v>1370</v>
      </c>
      <c r="B343" s="322" t="s">
        <v>1371</v>
      </c>
      <c r="C343" s="379">
        <v>62.5</v>
      </c>
    </row>
    <row r="344" spans="1:7" x14ac:dyDescent="0.2">
      <c r="A344" s="375" t="s">
        <v>1372</v>
      </c>
      <c r="B344" s="322" t="s">
        <v>1373</v>
      </c>
      <c r="C344" s="379">
        <v>1250</v>
      </c>
    </row>
    <row r="345" spans="1:7" x14ac:dyDescent="0.2">
      <c r="A345" s="375" t="s">
        <v>1374</v>
      </c>
      <c r="B345" s="322" t="s">
        <v>1375</v>
      </c>
      <c r="C345" s="379">
        <v>1250</v>
      </c>
    </row>
    <row r="346" spans="1:7" x14ac:dyDescent="0.2">
      <c r="A346" s="375" t="s">
        <v>1376</v>
      </c>
      <c r="B346" s="322" t="s">
        <v>1377</v>
      </c>
      <c r="C346" s="379">
        <v>2083.3333333333335</v>
      </c>
    </row>
    <row r="347" spans="1:7" x14ac:dyDescent="0.2">
      <c r="A347" s="375" t="s">
        <v>1378</v>
      </c>
      <c r="B347" s="322" t="s">
        <v>1379</v>
      </c>
      <c r="C347" s="379">
        <v>1250</v>
      </c>
    </row>
    <row r="348" spans="1:7" x14ac:dyDescent="0.2">
      <c r="A348" s="375" t="s">
        <v>1380</v>
      </c>
      <c r="B348" s="322" t="s">
        <v>1381</v>
      </c>
      <c r="C348" s="379">
        <v>388750</v>
      </c>
    </row>
    <row r="349" spans="1:7" x14ac:dyDescent="0.2">
      <c r="A349" s="375" t="s">
        <v>1088</v>
      </c>
      <c r="B349" s="322" t="s">
        <v>892</v>
      </c>
      <c r="C349" s="377">
        <v>35340</v>
      </c>
    </row>
    <row r="350" spans="1:7" x14ac:dyDescent="0.2">
      <c r="A350" s="375" t="s">
        <v>1382</v>
      </c>
      <c r="B350" s="322" t="s">
        <v>1383</v>
      </c>
      <c r="C350" s="379">
        <v>50416.666666666672</v>
      </c>
      <c r="G350" s="325"/>
    </row>
    <row r="351" spans="1:7" x14ac:dyDescent="0.2">
      <c r="A351" s="375" t="s">
        <v>1384</v>
      </c>
      <c r="B351" s="322" t="s">
        <v>1385</v>
      </c>
      <c r="C351" s="379">
        <v>53625</v>
      </c>
    </row>
    <row r="352" spans="1:7" x14ac:dyDescent="0.2">
      <c r="A352" s="375" t="s">
        <v>1386</v>
      </c>
      <c r="B352" s="322" t="s">
        <v>1387</v>
      </c>
      <c r="C352" s="379">
        <v>32062.5</v>
      </c>
    </row>
    <row r="353" spans="1:7" x14ac:dyDescent="0.2">
      <c r="A353" t="s">
        <v>1529</v>
      </c>
      <c r="B353" s="322" t="s">
        <v>1530</v>
      </c>
      <c r="C353" s="377">
        <v>11100</v>
      </c>
    </row>
    <row r="354" spans="1:7" x14ac:dyDescent="0.2">
      <c r="A354" s="375" t="s">
        <v>1388</v>
      </c>
      <c r="B354" s="322" t="s">
        <v>1389</v>
      </c>
      <c r="C354" s="379">
        <v>61500</v>
      </c>
    </row>
    <row r="355" spans="1:7" x14ac:dyDescent="0.2">
      <c r="A355" s="375" t="s">
        <v>1089</v>
      </c>
      <c r="B355" s="322" t="s">
        <v>893</v>
      </c>
      <c r="C355" s="377">
        <v>46920</v>
      </c>
    </row>
    <row r="356" spans="1:7" x14ac:dyDescent="0.2">
      <c r="A356" s="375" t="s">
        <v>1390</v>
      </c>
      <c r="B356" s="322" t="s">
        <v>1391</v>
      </c>
      <c r="C356" s="379">
        <v>199625</v>
      </c>
      <c r="G356" s="325"/>
    </row>
    <row r="357" spans="1:7" x14ac:dyDescent="0.2">
      <c r="A357" s="375" t="s">
        <v>1392</v>
      </c>
      <c r="B357" s="322" t="s">
        <v>1393</v>
      </c>
      <c r="C357" s="379">
        <v>26312.5</v>
      </c>
    </row>
    <row r="358" spans="1:7" x14ac:dyDescent="0.2">
      <c r="A358" s="375" t="s">
        <v>1394</v>
      </c>
      <c r="B358" s="322" t="s">
        <v>1395</v>
      </c>
      <c r="C358" s="379">
        <v>183875</v>
      </c>
    </row>
    <row r="359" spans="1:7" x14ac:dyDescent="0.2">
      <c r="A359" s="375" t="s">
        <v>1396</v>
      </c>
      <c r="B359" s="322" t="s">
        <v>1397</v>
      </c>
      <c r="C359" s="379">
        <v>126625</v>
      </c>
    </row>
    <row r="360" spans="1:7" x14ac:dyDescent="0.2">
      <c r="A360" s="375" t="s">
        <v>1398</v>
      </c>
      <c r="B360" s="322" t="s">
        <v>1399</v>
      </c>
      <c r="C360" s="379">
        <v>7187.5</v>
      </c>
    </row>
    <row r="361" spans="1:7" x14ac:dyDescent="0.2">
      <c r="A361" s="375" t="s">
        <v>1400</v>
      </c>
      <c r="B361" s="322" t="s">
        <v>1401</v>
      </c>
      <c r="C361" s="379">
        <v>8312.5</v>
      </c>
    </row>
    <row r="362" spans="1:7" x14ac:dyDescent="0.2">
      <c r="A362" s="375" t="s">
        <v>1402</v>
      </c>
      <c r="B362" s="322" t="s">
        <v>1403</v>
      </c>
      <c r="C362" s="379">
        <v>31250</v>
      </c>
    </row>
    <row r="363" spans="1:7" x14ac:dyDescent="0.2">
      <c r="A363" s="375" t="s">
        <v>1090</v>
      </c>
      <c r="B363" s="322" t="s">
        <v>894</v>
      </c>
      <c r="C363" s="377">
        <v>6000</v>
      </c>
    </row>
    <row r="364" spans="1:7" x14ac:dyDescent="0.2">
      <c r="A364" s="375" t="s">
        <v>1404</v>
      </c>
      <c r="B364" s="322" t="s">
        <v>1405</v>
      </c>
      <c r="C364" s="379">
        <v>25000</v>
      </c>
    </row>
    <row r="365" spans="1:7" x14ac:dyDescent="0.2">
      <c r="A365" s="375" t="s">
        <v>1406</v>
      </c>
      <c r="B365" s="322" t="s">
        <v>1407</v>
      </c>
      <c r="C365" s="379">
        <v>19750</v>
      </c>
    </row>
    <row r="366" spans="1:7" x14ac:dyDescent="0.2">
      <c r="A366" s="375" t="s">
        <v>1408</v>
      </c>
      <c r="B366" s="322" t="s">
        <v>1409</v>
      </c>
      <c r="C366" s="379">
        <v>52000</v>
      </c>
    </row>
    <row r="367" spans="1:7" x14ac:dyDescent="0.2">
      <c r="A367" s="375" t="s">
        <v>1410</v>
      </c>
      <c r="B367" s="322" t="s">
        <v>1411</v>
      </c>
      <c r="C367" s="379">
        <v>16812.5</v>
      </c>
    </row>
    <row r="368" spans="1:7" x14ac:dyDescent="0.2">
      <c r="A368" s="375" t="s">
        <v>1412</v>
      </c>
      <c r="B368" s="322" t="s">
        <v>1413</v>
      </c>
      <c r="C368" s="379">
        <v>2062.5</v>
      </c>
    </row>
    <row r="369" spans="1:3" x14ac:dyDescent="0.2">
      <c r="A369" s="375" t="s">
        <v>1414</v>
      </c>
      <c r="B369" s="322" t="s">
        <v>1415</v>
      </c>
      <c r="C369" s="379">
        <v>16500</v>
      </c>
    </row>
    <row r="370" spans="1:3" x14ac:dyDescent="0.2">
      <c r="A370" s="375" t="s">
        <v>1416</v>
      </c>
      <c r="B370" s="322" t="s">
        <v>1417</v>
      </c>
      <c r="C370" s="379">
        <v>23125</v>
      </c>
    </row>
    <row r="371" spans="1:3" x14ac:dyDescent="0.2">
      <c r="A371" s="375" t="s">
        <v>1418</v>
      </c>
      <c r="B371" s="322" t="s">
        <v>1419</v>
      </c>
      <c r="C371" s="379">
        <v>8437.5</v>
      </c>
    </row>
    <row r="372" spans="1:3" x14ac:dyDescent="0.2">
      <c r="A372" s="375" t="s">
        <v>1420</v>
      </c>
      <c r="B372" s="322" t="s">
        <v>1421</v>
      </c>
      <c r="C372" s="379">
        <v>1812.5</v>
      </c>
    </row>
    <row r="373" spans="1:3" x14ac:dyDescent="0.2">
      <c r="A373" s="375" t="s">
        <v>1422</v>
      </c>
      <c r="B373" s="322" t="s">
        <v>1423</v>
      </c>
      <c r="C373" s="379">
        <v>2625</v>
      </c>
    </row>
    <row r="374" spans="1:3" x14ac:dyDescent="0.2">
      <c r="A374" s="375" t="s">
        <v>1424</v>
      </c>
      <c r="B374" s="322" t="s">
        <v>1425</v>
      </c>
      <c r="C374" s="379">
        <v>1500</v>
      </c>
    </row>
    <row r="375" spans="1:3" x14ac:dyDescent="0.2">
      <c r="A375" s="375" t="s">
        <v>1091</v>
      </c>
      <c r="B375" s="322" t="s">
        <v>895</v>
      </c>
      <c r="C375" s="377">
        <v>34320</v>
      </c>
    </row>
    <row r="376" spans="1:3" x14ac:dyDescent="0.2">
      <c r="A376" s="375" t="s">
        <v>1426</v>
      </c>
      <c r="B376" s="322" t="s">
        <v>1427</v>
      </c>
      <c r="C376" s="379">
        <v>105062.5</v>
      </c>
    </row>
    <row r="377" spans="1:3" x14ac:dyDescent="0.2">
      <c r="A377" s="375" t="s">
        <v>1428</v>
      </c>
      <c r="B377" s="322" t="s">
        <v>1429</v>
      </c>
      <c r="C377" s="379">
        <v>6875</v>
      </c>
    </row>
    <row r="378" spans="1:3" x14ac:dyDescent="0.2">
      <c r="A378" s="375" t="s">
        <v>1430</v>
      </c>
      <c r="B378" s="322" t="s">
        <v>1431</v>
      </c>
      <c r="C378" s="379">
        <v>1312.5</v>
      </c>
    </row>
    <row r="379" spans="1:3" x14ac:dyDescent="0.2">
      <c r="A379" s="375" t="s">
        <v>1432</v>
      </c>
      <c r="B379" s="322" t="s">
        <v>1433</v>
      </c>
      <c r="C379" s="379">
        <v>21062.5</v>
      </c>
    </row>
    <row r="380" spans="1:3" x14ac:dyDescent="0.2">
      <c r="A380" s="375" t="s">
        <v>1434</v>
      </c>
      <c r="B380" s="322" t="s">
        <v>1435</v>
      </c>
      <c r="C380" s="379">
        <v>669250</v>
      </c>
    </row>
    <row r="381" spans="1:3" x14ac:dyDescent="0.2">
      <c r="A381" s="375" t="s">
        <v>1436</v>
      </c>
      <c r="B381" s="322" t="s">
        <v>1437</v>
      </c>
      <c r="C381" s="379">
        <v>79750</v>
      </c>
    </row>
    <row r="382" spans="1:3" x14ac:dyDescent="0.2">
      <c r="A382" s="375" t="s">
        <v>1438</v>
      </c>
      <c r="B382" s="322" t="s">
        <v>1439</v>
      </c>
      <c r="C382" s="379">
        <v>438750</v>
      </c>
    </row>
    <row r="383" spans="1:3" x14ac:dyDescent="0.2">
      <c r="A383" s="375" t="s">
        <v>1092</v>
      </c>
      <c r="B383" s="322" t="s">
        <v>896</v>
      </c>
      <c r="C383" s="377">
        <v>15180</v>
      </c>
    </row>
    <row r="384" spans="1:3" x14ac:dyDescent="0.2">
      <c r="A384" s="375" t="s">
        <v>1440</v>
      </c>
      <c r="B384" s="322" t="s">
        <v>1441</v>
      </c>
      <c r="C384" s="379">
        <v>80881.25</v>
      </c>
    </row>
    <row r="385" spans="1:3" x14ac:dyDescent="0.2">
      <c r="A385" s="375" t="s">
        <v>1102</v>
      </c>
      <c r="B385" s="322" t="s">
        <v>1103</v>
      </c>
      <c r="C385" s="379">
        <v>355000</v>
      </c>
    </row>
    <row r="386" spans="1:3" x14ac:dyDescent="0.2">
      <c r="A386" s="271"/>
      <c r="B386" s="271"/>
      <c r="C386" s="381"/>
    </row>
    <row r="387" spans="1:3" x14ac:dyDescent="0.2">
      <c r="A387" s="271"/>
      <c r="B387" s="271"/>
      <c r="C387" s="381"/>
    </row>
    <row r="388" spans="1:3" x14ac:dyDescent="0.2">
      <c r="A388" s="271"/>
      <c r="B388" s="271"/>
      <c r="C388" s="381"/>
    </row>
    <row r="389" spans="1:3" x14ac:dyDescent="0.2">
      <c r="A389" s="271"/>
      <c r="B389" s="271"/>
      <c r="C389" s="381"/>
    </row>
    <row r="390" spans="1:3" x14ac:dyDescent="0.2">
      <c r="A390" s="271"/>
      <c r="B390" s="271"/>
      <c r="C390" s="272"/>
    </row>
    <row r="391" spans="1:3" x14ac:dyDescent="0.2">
      <c r="A391" s="271"/>
      <c r="B391" s="271"/>
      <c r="C391" s="272"/>
    </row>
    <row r="392" spans="1:3" x14ac:dyDescent="0.2">
      <c r="A392" s="271"/>
      <c r="B392" s="271"/>
      <c r="C392" s="272"/>
    </row>
    <row r="393" spans="1:3" x14ac:dyDescent="0.2">
      <c r="A393" s="271"/>
      <c r="B393" s="271"/>
      <c r="C393" s="272"/>
    </row>
    <row r="394" spans="1:3" x14ac:dyDescent="0.2">
      <c r="A394" s="271"/>
      <c r="B394" s="271"/>
      <c r="C394" s="272"/>
    </row>
    <row r="395" spans="1:3" x14ac:dyDescent="0.2">
      <c r="A395" s="271"/>
      <c r="B395" s="271"/>
      <c r="C395" s="272"/>
    </row>
    <row r="396" spans="1:3" x14ac:dyDescent="0.2">
      <c r="A396" s="271"/>
      <c r="B396" s="271"/>
      <c r="C396" s="272"/>
    </row>
    <row r="397" spans="1:3" x14ac:dyDescent="0.2">
      <c r="A397" s="271"/>
      <c r="B397" s="271"/>
      <c r="C397" s="272"/>
    </row>
    <row r="398" spans="1:3" x14ac:dyDescent="0.2">
      <c r="A398" s="271"/>
      <c r="B398" s="271"/>
      <c r="C398" s="272"/>
    </row>
    <row r="399" spans="1:3" x14ac:dyDescent="0.2">
      <c r="A399" s="271"/>
      <c r="B399" s="271"/>
      <c r="C399" s="272"/>
    </row>
    <row r="400" spans="1:3" x14ac:dyDescent="0.2">
      <c r="A400" s="271"/>
      <c r="B400" s="271"/>
      <c r="C400" s="272"/>
    </row>
    <row r="401" spans="1:3" x14ac:dyDescent="0.2">
      <c r="A401" s="271"/>
      <c r="B401" s="271"/>
      <c r="C401" s="272"/>
    </row>
    <row r="402" spans="1:3" x14ac:dyDescent="0.2">
      <c r="A402" s="271"/>
      <c r="B402" s="271"/>
      <c r="C402" s="272"/>
    </row>
    <row r="403" spans="1:3" x14ac:dyDescent="0.2">
      <c r="A403" s="271"/>
      <c r="B403" s="271"/>
      <c r="C403" s="272"/>
    </row>
    <row r="404" spans="1:3" x14ac:dyDescent="0.2">
      <c r="A404" s="271"/>
      <c r="B404" s="271"/>
      <c r="C404" s="272"/>
    </row>
    <row r="405" spans="1:3" x14ac:dyDescent="0.2">
      <c r="A405" s="271"/>
      <c r="B405" s="271"/>
      <c r="C405" s="272"/>
    </row>
    <row r="406" spans="1:3" x14ac:dyDescent="0.2">
      <c r="A406" s="271"/>
      <c r="B406" s="271"/>
      <c r="C406" s="272"/>
    </row>
    <row r="407" spans="1:3" x14ac:dyDescent="0.2">
      <c r="A407" s="271"/>
      <c r="B407" s="271"/>
      <c r="C407" s="272"/>
    </row>
    <row r="408" spans="1:3" x14ac:dyDescent="0.2">
      <c r="A408" s="271"/>
      <c r="B408" s="271"/>
      <c r="C408" s="272"/>
    </row>
    <row r="409" spans="1:3" x14ac:dyDescent="0.2">
      <c r="A409" s="271"/>
      <c r="B409" s="271"/>
      <c r="C409" s="272"/>
    </row>
    <row r="410" spans="1:3" x14ac:dyDescent="0.2">
      <c r="A410" s="271"/>
      <c r="B410" s="271"/>
      <c r="C410" s="272"/>
    </row>
    <row r="411" spans="1:3" x14ac:dyDescent="0.2">
      <c r="A411" s="271"/>
      <c r="B411" s="271"/>
      <c r="C411" s="272"/>
    </row>
    <row r="412" spans="1:3" x14ac:dyDescent="0.2">
      <c r="A412" s="271"/>
      <c r="B412" s="271"/>
      <c r="C412" s="272"/>
    </row>
    <row r="413" spans="1:3" x14ac:dyDescent="0.2">
      <c r="A413" s="271"/>
      <c r="B413" s="271"/>
      <c r="C413" s="272"/>
    </row>
    <row r="414" spans="1:3" x14ac:dyDescent="0.2">
      <c r="A414" s="271"/>
      <c r="B414" s="271"/>
      <c r="C414" s="272"/>
    </row>
    <row r="415" spans="1:3" x14ac:dyDescent="0.2">
      <c r="A415" s="271"/>
      <c r="B415" s="271"/>
      <c r="C415" s="272"/>
    </row>
    <row r="416" spans="1:3" x14ac:dyDescent="0.2">
      <c r="A416" s="271"/>
      <c r="B416" s="271"/>
      <c r="C416" s="272"/>
    </row>
    <row r="417" spans="1:3" x14ac:dyDescent="0.2">
      <c r="A417" s="271"/>
      <c r="B417" s="271"/>
      <c r="C417" s="272"/>
    </row>
  </sheetData>
  <autoFilter ref="A2:C385" xr:uid="{00000000-0001-0000-0200-000000000000}"/>
  <phoneticPr fontId="36" type="noConversion"/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E213"/>
  <sheetViews>
    <sheetView topLeftCell="A60" zoomScale="118" zoomScaleNormal="118" workbookViewId="0">
      <selection activeCell="B70" sqref="B70"/>
    </sheetView>
  </sheetViews>
  <sheetFormatPr baseColWidth="10" defaultRowHeight="12.75" x14ac:dyDescent="0.2"/>
  <cols>
    <col min="1" max="1" width="14.42578125" bestFit="1" customWidth="1"/>
    <col min="2" max="2" width="71.7109375" customWidth="1"/>
    <col min="3" max="3" width="54.85546875" style="181" customWidth="1"/>
  </cols>
  <sheetData>
    <row r="1" spans="1:3" x14ac:dyDescent="0.2">
      <c r="A1" s="157" t="s">
        <v>182</v>
      </c>
      <c r="B1" s="158" t="s">
        <v>183</v>
      </c>
      <c r="C1" s="158" t="s">
        <v>184</v>
      </c>
    </row>
    <row r="2" spans="1:3" x14ac:dyDescent="0.2">
      <c r="A2" s="216">
        <v>71730055</v>
      </c>
      <c r="B2" s="217" t="s">
        <v>484</v>
      </c>
      <c r="C2" s="218"/>
    </row>
    <row r="3" spans="1:3" x14ac:dyDescent="0.2">
      <c r="A3" s="216" t="s">
        <v>558</v>
      </c>
      <c r="B3" s="203" t="s">
        <v>557</v>
      </c>
      <c r="C3" s="182"/>
    </row>
    <row r="4" spans="1:3" x14ac:dyDescent="0.2">
      <c r="A4" s="216" t="s">
        <v>197</v>
      </c>
      <c r="B4" s="196" t="s">
        <v>198</v>
      </c>
      <c r="C4" s="186" t="s">
        <v>199</v>
      </c>
    </row>
    <row r="5" spans="1:3" x14ac:dyDescent="0.2">
      <c r="A5" s="216">
        <v>1128441365</v>
      </c>
      <c r="B5" s="195" t="s">
        <v>201</v>
      </c>
      <c r="C5" s="182" t="s">
        <v>202</v>
      </c>
    </row>
    <row r="6" spans="1:3" x14ac:dyDescent="0.2">
      <c r="A6" s="216" t="s">
        <v>203</v>
      </c>
      <c r="B6" s="197" t="s">
        <v>204</v>
      </c>
      <c r="C6" s="186" t="s">
        <v>191</v>
      </c>
    </row>
    <row r="7" spans="1:3" x14ac:dyDescent="0.2">
      <c r="A7" s="216" t="s">
        <v>348</v>
      </c>
      <c r="B7" s="196" t="s">
        <v>347</v>
      </c>
      <c r="C7" s="191" t="s">
        <v>231</v>
      </c>
    </row>
    <row r="8" spans="1:3" x14ac:dyDescent="0.2">
      <c r="A8" s="216" t="s">
        <v>284</v>
      </c>
      <c r="B8" s="196" t="s">
        <v>285</v>
      </c>
      <c r="C8" s="186" t="s">
        <v>286</v>
      </c>
    </row>
    <row r="9" spans="1:3" x14ac:dyDescent="0.2">
      <c r="A9" s="216" t="s">
        <v>618</v>
      </c>
      <c r="B9" s="195" t="s">
        <v>617</v>
      </c>
      <c r="C9" s="190"/>
    </row>
    <row r="10" spans="1:3" x14ac:dyDescent="0.2">
      <c r="A10" s="216" t="s">
        <v>396</v>
      </c>
      <c r="B10" s="195" t="s">
        <v>310</v>
      </c>
      <c r="C10" s="190" t="s">
        <v>207</v>
      </c>
    </row>
    <row r="11" spans="1:3" x14ac:dyDescent="0.2">
      <c r="A11" s="216" t="s">
        <v>214</v>
      </c>
      <c r="B11" s="199" t="s">
        <v>325</v>
      </c>
      <c r="C11" s="186" t="s">
        <v>215</v>
      </c>
    </row>
    <row r="12" spans="1:3" x14ac:dyDescent="0.2">
      <c r="A12" s="216" t="s">
        <v>210</v>
      </c>
      <c r="B12" s="195" t="s">
        <v>153</v>
      </c>
      <c r="C12" s="190" t="s">
        <v>211</v>
      </c>
    </row>
    <row r="13" spans="1:3" x14ac:dyDescent="0.2">
      <c r="A13" s="216" t="s">
        <v>453</v>
      </c>
      <c r="B13" s="195" t="s">
        <v>454</v>
      </c>
      <c r="C13" s="190" t="s">
        <v>455</v>
      </c>
    </row>
    <row r="14" spans="1:3" x14ac:dyDescent="0.2">
      <c r="A14" s="216" t="s">
        <v>527</v>
      </c>
      <c r="B14" s="195" t="s">
        <v>592</v>
      </c>
      <c r="C14" s="190" t="s">
        <v>526</v>
      </c>
    </row>
    <row r="15" spans="1:3" x14ac:dyDescent="0.2">
      <c r="A15" s="216" t="s">
        <v>408</v>
      </c>
      <c r="B15" s="195" t="s">
        <v>407</v>
      </c>
      <c r="C15" s="190" t="s">
        <v>409</v>
      </c>
    </row>
    <row r="16" spans="1:3" x14ac:dyDescent="0.2">
      <c r="A16" s="216" t="s">
        <v>572</v>
      </c>
      <c r="B16" s="195" t="s">
        <v>571</v>
      </c>
      <c r="C16" s="190"/>
    </row>
    <row r="17" spans="1:3" x14ac:dyDescent="0.2">
      <c r="A17" s="216" t="s">
        <v>566</v>
      </c>
      <c r="B17" s="195" t="s">
        <v>565</v>
      </c>
      <c r="C17" s="190" t="s">
        <v>567</v>
      </c>
    </row>
    <row r="18" spans="1:3" x14ac:dyDescent="0.2">
      <c r="A18" s="216" t="s">
        <v>579</v>
      </c>
      <c r="B18" s="195" t="s">
        <v>578</v>
      </c>
      <c r="C18" s="182" t="s">
        <v>629</v>
      </c>
    </row>
    <row r="19" spans="1:3" x14ac:dyDescent="0.2">
      <c r="A19" s="216" t="s">
        <v>644</v>
      </c>
      <c r="B19" s="195" t="s">
        <v>643</v>
      </c>
      <c r="C19" s="182" t="s">
        <v>645</v>
      </c>
    </row>
    <row r="20" spans="1:3" x14ac:dyDescent="0.2">
      <c r="A20" s="216" t="s">
        <v>680</v>
      </c>
      <c r="B20" s="195" t="s">
        <v>679</v>
      </c>
      <c r="C20" s="239" t="s">
        <v>681</v>
      </c>
    </row>
    <row r="21" spans="1:3" ht="15" x14ac:dyDescent="0.25">
      <c r="A21" s="216" t="s">
        <v>563</v>
      </c>
      <c r="B21" s="198" t="s">
        <v>562</v>
      </c>
      <c r="C21" s="184" t="s">
        <v>564</v>
      </c>
    </row>
    <row r="22" spans="1:3" x14ac:dyDescent="0.2">
      <c r="A22" s="216" t="s">
        <v>499</v>
      </c>
      <c r="B22" s="195" t="s">
        <v>496</v>
      </c>
      <c r="C22" s="182" t="s">
        <v>191</v>
      </c>
    </row>
    <row r="23" spans="1:3" ht="15" x14ac:dyDescent="0.25">
      <c r="A23" s="216" t="s">
        <v>432</v>
      </c>
      <c r="B23" s="197" t="s">
        <v>433</v>
      </c>
      <c r="C23" s="184"/>
    </row>
    <row r="24" spans="1:3" x14ac:dyDescent="0.2">
      <c r="A24" s="216" t="s">
        <v>186</v>
      </c>
      <c r="B24" s="197" t="s">
        <v>500</v>
      </c>
      <c r="C24" s="186" t="s">
        <v>187</v>
      </c>
    </row>
    <row r="25" spans="1:3" x14ac:dyDescent="0.2">
      <c r="A25" s="216" t="s">
        <v>404</v>
      </c>
      <c r="B25" s="195" t="s">
        <v>403</v>
      </c>
      <c r="C25" s="182"/>
    </row>
    <row r="26" spans="1:3" x14ac:dyDescent="0.2">
      <c r="A26" s="216" t="s">
        <v>189</v>
      </c>
      <c r="B26" s="197" t="s">
        <v>289</v>
      </c>
      <c r="C26" s="183" t="s">
        <v>190</v>
      </c>
    </row>
    <row r="27" spans="1:3" x14ac:dyDescent="0.2">
      <c r="A27" s="216" t="s">
        <v>576</v>
      </c>
      <c r="B27" s="197" t="s">
        <v>577</v>
      </c>
      <c r="C27" s="183"/>
    </row>
    <row r="28" spans="1:3" x14ac:dyDescent="0.2">
      <c r="A28" s="216" t="s">
        <v>196</v>
      </c>
      <c r="B28" s="197" t="s">
        <v>520</v>
      </c>
      <c r="C28" s="186" t="s">
        <v>191</v>
      </c>
    </row>
    <row r="29" spans="1:3" x14ac:dyDescent="0.2">
      <c r="A29" s="216" t="s">
        <v>649</v>
      </c>
      <c r="B29" s="197" t="s">
        <v>648</v>
      </c>
      <c r="C29" s="186" t="s">
        <v>650</v>
      </c>
    </row>
    <row r="30" spans="1:3" x14ac:dyDescent="0.2">
      <c r="A30" s="216" t="s">
        <v>460</v>
      </c>
      <c r="B30" s="197" t="s">
        <v>461</v>
      </c>
      <c r="C30" s="186"/>
    </row>
    <row r="31" spans="1:3" x14ac:dyDescent="0.2">
      <c r="A31" s="216" t="s">
        <v>603</v>
      </c>
      <c r="B31" s="208" t="s">
        <v>635</v>
      </c>
      <c r="C31" s="182" t="s">
        <v>604</v>
      </c>
    </row>
    <row r="32" spans="1:3" x14ac:dyDescent="0.2">
      <c r="A32" s="216" t="s">
        <v>602</v>
      </c>
      <c r="B32" s="208" t="s">
        <v>601</v>
      </c>
      <c r="C32" s="186"/>
    </row>
    <row r="33" spans="1:5" x14ac:dyDescent="0.2">
      <c r="A33" s="216" t="s">
        <v>316</v>
      </c>
      <c r="B33" s="200" t="s">
        <v>296</v>
      </c>
      <c r="C33" s="182" t="s">
        <v>639</v>
      </c>
    </row>
    <row r="34" spans="1:5" x14ac:dyDescent="0.2">
      <c r="A34" s="216" t="s">
        <v>206</v>
      </c>
      <c r="B34" s="198" t="s">
        <v>299</v>
      </c>
      <c r="C34" s="187" t="s">
        <v>193</v>
      </c>
    </row>
    <row r="35" spans="1:5" ht="15" x14ac:dyDescent="0.25">
      <c r="A35" s="216" t="s">
        <v>304</v>
      </c>
      <c r="B35" s="201" t="s">
        <v>303</v>
      </c>
      <c r="C35" s="189"/>
    </row>
    <row r="36" spans="1:5" ht="15" x14ac:dyDescent="0.25">
      <c r="A36" s="216" t="s">
        <v>397</v>
      </c>
      <c r="B36" s="200" t="s">
        <v>305</v>
      </c>
      <c r="C36" s="185"/>
    </row>
    <row r="37" spans="1:5" x14ac:dyDescent="0.2">
      <c r="A37" s="216" t="s">
        <v>624</v>
      </c>
      <c r="B37" s="200" t="s">
        <v>623</v>
      </c>
      <c r="C37" s="182" t="s">
        <v>526</v>
      </c>
    </row>
    <row r="38" spans="1:5" x14ac:dyDescent="0.2">
      <c r="A38" s="216" t="s">
        <v>208</v>
      </c>
      <c r="B38" s="197" t="s">
        <v>317</v>
      </c>
      <c r="C38" s="187" t="s">
        <v>209</v>
      </c>
    </row>
    <row r="39" spans="1:5" ht="15" x14ac:dyDescent="0.25">
      <c r="A39" s="216" t="s">
        <v>395</v>
      </c>
      <c r="B39" s="196" t="s">
        <v>307</v>
      </c>
      <c r="C39" s="188"/>
    </row>
    <row r="40" spans="1:5" x14ac:dyDescent="0.2">
      <c r="A40" s="216" t="s">
        <v>378</v>
      </c>
      <c r="B40" s="196" t="s">
        <v>377</v>
      </c>
      <c r="C40" s="186" t="s">
        <v>193</v>
      </c>
    </row>
    <row r="41" spans="1:5" s="172" customFormat="1" x14ac:dyDescent="0.2">
      <c r="A41" s="216" t="s">
        <v>402</v>
      </c>
      <c r="B41" s="212" t="s">
        <v>492</v>
      </c>
      <c r="C41" s="186"/>
      <c r="D41"/>
      <c r="E41"/>
    </row>
    <row r="42" spans="1:5" x14ac:dyDescent="0.2">
      <c r="A42" s="216" t="s">
        <v>590</v>
      </c>
      <c r="B42" s="212" t="s">
        <v>589</v>
      </c>
      <c r="C42" s="186" t="s">
        <v>591</v>
      </c>
    </row>
    <row r="43" spans="1:5" x14ac:dyDescent="0.2">
      <c r="A43" s="216" t="s">
        <v>328</v>
      </c>
      <c r="B43" s="195" t="s">
        <v>327</v>
      </c>
      <c r="C43" s="182"/>
    </row>
    <row r="44" spans="1:5" s="172" customFormat="1" x14ac:dyDescent="0.2">
      <c r="A44" s="216" t="s">
        <v>413</v>
      </c>
      <c r="B44" s="195" t="s">
        <v>412</v>
      </c>
      <c r="C44" s="182" t="s">
        <v>414</v>
      </c>
      <c r="D44"/>
      <c r="E44"/>
    </row>
    <row r="45" spans="1:5" s="172" customFormat="1" x14ac:dyDescent="0.2">
      <c r="A45" s="216" t="s">
        <v>336</v>
      </c>
      <c r="B45" s="173" t="s">
        <v>335</v>
      </c>
      <c r="C45" s="182"/>
      <c r="D45"/>
      <c r="E45"/>
    </row>
    <row r="46" spans="1:5" s="172" customFormat="1" ht="15" x14ac:dyDescent="0.25">
      <c r="A46" s="216" t="s">
        <v>228</v>
      </c>
      <c r="B46" s="197" t="s">
        <v>345</v>
      </c>
      <c r="C46" s="184" t="s">
        <v>229</v>
      </c>
      <c r="D46"/>
      <c r="E46"/>
    </row>
    <row r="47" spans="1:5" x14ac:dyDescent="0.2">
      <c r="A47" s="216" t="s">
        <v>230</v>
      </c>
      <c r="B47" s="200" t="s">
        <v>346</v>
      </c>
      <c r="C47" s="182" t="s">
        <v>191</v>
      </c>
    </row>
    <row r="48" spans="1:5" x14ac:dyDescent="0.2">
      <c r="A48" s="216" t="s">
        <v>232</v>
      </c>
      <c r="B48" s="200" t="s">
        <v>349</v>
      </c>
      <c r="C48" s="187" t="s">
        <v>233</v>
      </c>
    </row>
    <row r="49" spans="1:3" x14ac:dyDescent="0.2">
      <c r="A49" s="216" t="s">
        <v>235</v>
      </c>
      <c r="B49" s="200" t="s">
        <v>351</v>
      </c>
      <c r="C49" s="183" t="s">
        <v>236</v>
      </c>
    </row>
    <row r="50" spans="1:3" x14ac:dyDescent="0.2">
      <c r="A50" s="216" t="s">
        <v>463</v>
      </c>
      <c r="B50" s="200" t="s">
        <v>462</v>
      </c>
      <c r="C50" s="182" t="s">
        <v>128</v>
      </c>
    </row>
    <row r="51" spans="1:3" x14ac:dyDescent="0.2">
      <c r="A51" s="216" t="s">
        <v>471</v>
      </c>
      <c r="B51" s="195" t="s">
        <v>355</v>
      </c>
      <c r="C51" s="182" t="s">
        <v>427</v>
      </c>
    </row>
    <row r="52" spans="1:3" x14ac:dyDescent="0.2">
      <c r="A52" s="216" t="s">
        <v>426</v>
      </c>
      <c r="B52" s="195" t="s">
        <v>428</v>
      </c>
      <c r="C52" s="182"/>
    </row>
    <row r="53" spans="1:3" ht="15" x14ac:dyDescent="0.25">
      <c r="A53" s="216" t="s">
        <v>438</v>
      </c>
      <c r="B53" s="195" t="s">
        <v>439</v>
      </c>
      <c r="C53" s="184" t="s">
        <v>241</v>
      </c>
    </row>
    <row r="54" spans="1:3" x14ac:dyDescent="0.2">
      <c r="A54" s="216" t="s">
        <v>240</v>
      </c>
      <c r="B54" s="197" t="s">
        <v>358</v>
      </c>
      <c r="C54" s="182" t="s">
        <v>191</v>
      </c>
    </row>
    <row r="55" spans="1:3" x14ac:dyDescent="0.2">
      <c r="A55" s="216" t="s">
        <v>553</v>
      </c>
      <c r="B55" s="197" t="s">
        <v>554</v>
      </c>
      <c r="C55" s="182"/>
    </row>
    <row r="56" spans="1:3" x14ac:dyDescent="0.2">
      <c r="A56" s="216" t="s">
        <v>535</v>
      </c>
      <c r="B56" s="197" t="s">
        <v>534</v>
      </c>
      <c r="C56" s="182"/>
    </row>
    <row r="57" spans="1:3" ht="15" x14ac:dyDescent="0.25">
      <c r="A57" s="216" t="s">
        <v>594</v>
      </c>
      <c r="B57" s="197" t="s">
        <v>593</v>
      </c>
      <c r="C57" s="184" t="s">
        <v>191</v>
      </c>
    </row>
    <row r="58" spans="1:3" x14ac:dyDescent="0.2">
      <c r="A58" s="216" t="s">
        <v>692</v>
      </c>
      <c r="B58" s="197" t="s">
        <v>691</v>
      </c>
      <c r="C58" s="254" t="s">
        <v>693</v>
      </c>
    </row>
    <row r="59" spans="1:3" x14ac:dyDescent="0.2">
      <c r="A59" s="216" t="s">
        <v>469</v>
      </c>
      <c r="B59" s="197" t="s">
        <v>468</v>
      </c>
      <c r="C59" s="182" t="s">
        <v>470</v>
      </c>
    </row>
    <row r="60" spans="1:3" x14ac:dyDescent="0.2">
      <c r="A60" s="216" t="s">
        <v>417</v>
      </c>
      <c r="B60" s="197" t="s">
        <v>418</v>
      </c>
      <c r="C60" s="182" t="s">
        <v>252</v>
      </c>
    </row>
    <row r="61" spans="1:3" x14ac:dyDescent="0.2">
      <c r="A61" s="216" t="s">
        <v>251</v>
      </c>
      <c r="B61" s="200" t="s">
        <v>366</v>
      </c>
      <c r="C61" s="183" t="s">
        <v>259</v>
      </c>
    </row>
    <row r="62" spans="1:3" x14ac:dyDescent="0.2">
      <c r="A62" s="216" t="s">
        <v>616</v>
      </c>
      <c r="B62" s="200" t="s">
        <v>615</v>
      </c>
      <c r="C62" s="187" t="s">
        <v>191</v>
      </c>
    </row>
    <row r="63" spans="1:3" x14ac:dyDescent="0.2">
      <c r="A63" s="216" t="s">
        <v>258</v>
      </c>
      <c r="B63" s="197" t="s">
        <v>374</v>
      </c>
      <c r="C63" s="183"/>
    </row>
    <row r="64" spans="1:3" x14ac:dyDescent="0.2">
      <c r="A64" s="216" t="s">
        <v>515</v>
      </c>
      <c r="B64" s="197" t="s">
        <v>514</v>
      </c>
      <c r="C64" s="183"/>
    </row>
    <row r="65" spans="1:3" x14ac:dyDescent="0.2">
      <c r="A65" s="216" t="s">
        <v>440</v>
      </c>
      <c r="B65" s="197" t="s">
        <v>441</v>
      </c>
      <c r="C65" s="194" t="s">
        <v>270</v>
      </c>
    </row>
    <row r="66" spans="1:3" x14ac:dyDescent="0.2">
      <c r="A66" s="216" t="s">
        <v>269</v>
      </c>
      <c r="B66" s="199" t="s">
        <v>387</v>
      </c>
      <c r="C66" s="182" t="s">
        <v>191</v>
      </c>
    </row>
    <row r="67" spans="1:3" x14ac:dyDescent="0.2">
      <c r="A67" s="216" t="s">
        <v>580</v>
      </c>
      <c r="B67" s="199" t="s">
        <v>581</v>
      </c>
      <c r="C67" s="182" t="s">
        <v>526</v>
      </c>
    </row>
    <row r="68" spans="1:3" x14ac:dyDescent="0.2">
      <c r="A68" s="216" t="s">
        <v>239</v>
      </c>
      <c r="B68" s="207" t="s">
        <v>357</v>
      </c>
      <c r="C68" s="230" t="s">
        <v>444</v>
      </c>
    </row>
    <row r="69" spans="1:3" x14ac:dyDescent="0.2">
      <c r="A69" s="216" t="s">
        <v>368</v>
      </c>
      <c r="B69" s="207" t="s">
        <v>508</v>
      </c>
      <c r="C69" s="182"/>
    </row>
    <row r="70" spans="1:3" x14ac:dyDescent="0.2">
      <c r="A70" s="216" t="s">
        <v>716</v>
      </c>
      <c r="B70" s="207" t="s">
        <v>715</v>
      </c>
      <c r="C70" s="258" t="s">
        <v>717</v>
      </c>
    </row>
    <row r="71" spans="1:3" x14ac:dyDescent="0.2">
      <c r="A71" s="216" t="s">
        <v>442</v>
      </c>
      <c r="B71" s="207" t="s">
        <v>443</v>
      </c>
      <c r="C71" s="209"/>
    </row>
    <row r="72" spans="1:3" x14ac:dyDescent="0.2">
      <c r="A72" s="216" t="s">
        <v>507</v>
      </c>
      <c r="B72" s="207" t="s">
        <v>506</v>
      </c>
      <c r="C72" s="209"/>
    </row>
    <row r="73" spans="1:3" x14ac:dyDescent="0.2">
      <c r="A73" s="216" t="s">
        <v>676</v>
      </c>
      <c r="B73" s="207" t="s">
        <v>677</v>
      </c>
      <c r="C73" s="209" t="s">
        <v>678</v>
      </c>
    </row>
    <row r="74" spans="1:3" x14ac:dyDescent="0.2">
      <c r="A74" s="216">
        <v>900574702</v>
      </c>
      <c r="B74" s="207" t="s">
        <v>560</v>
      </c>
      <c r="C74" s="209" t="s">
        <v>559</v>
      </c>
    </row>
    <row r="75" spans="1:3" x14ac:dyDescent="0.2">
      <c r="A75" s="216" t="s">
        <v>491</v>
      </c>
      <c r="B75" s="195" t="s">
        <v>490</v>
      </c>
      <c r="C75" s="182"/>
    </row>
    <row r="76" spans="1:3" x14ac:dyDescent="0.2">
      <c r="A76" s="216" t="s">
        <v>321</v>
      </c>
      <c r="B76" s="195" t="s">
        <v>319</v>
      </c>
      <c r="C76" s="187" t="s">
        <v>191</v>
      </c>
    </row>
    <row r="77" spans="1:3" x14ac:dyDescent="0.2">
      <c r="A77" s="216" t="s">
        <v>719</v>
      </c>
      <c r="B77" s="195" t="s">
        <v>718</v>
      </c>
      <c r="C77" s="254" t="s">
        <v>720</v>
      </c>
    </row>
    <row r="78" spans="1:3" x14ac:dyDescent="0.2">
      <c r="A78" s="216" t="s">
        <v>529</v>
      </c>
      <c r="B78" s="195" t="s">
        <v>528</v>
      </c>
      <c r="C78" s="187"/>
    </row>
    <row r="79" spans="1:3" x14ac:dyDescent="0.2">
      <c r="A79" s="216" t="s">
        <v>311</v>
      </c>
      <c r="B79" s="200" t="s">
        <v>288</v>
      </c>
      <c r="C79" s="187" t="s">
        <v>188</v>
      </c>
    </row>
    <row r="80" spans="1:3" ht="15" x14ac:dyDescent="0.25">
      <c r="A80" s="216" t="s">
        <v>472</v>
      </c>
      <c r="B80" s="200" t="s">
        <v>290</v>
      </c>
      <c r="C80" s="184" t="s">
        <v>193</v>
      </c>
    </row>
    <row r="81" spans="1:3" x14ac:dyDescent="0.2">
      <c r="A81" s="216" t="s">
        <v>192</v>
      </c>
      <c r="B81" s="199" t="s">
        <v>424</v>
      </c>
      <c r="C81" s="182" t="s">
        <v>195</v>
      </c>
    </row>
    <row r="82" spans="1:3" x14ac:dyDescent="0.2">
      <c r="A82" s="216" t="s">
        <v>194</v>
      </c>
      <c r="B82" s="195" t="s">
        <v>458</v>
      </c>
      <c r="C82" s="186"/>
    </row>
    <row r="83" spans="1:3" ht="15" x14ac:dyDescent="0.25">
      <c r="A83" s="216" t="s">
        <v>451</v>
      </c>
      <c r="B83" s="196" t="s">
        <v>452</v>
      </c>
      <c r="C83" s="184" t="s">
        <v>193</v>
      </c>
    </row>
    <row r="84" spans="1:3" x14ac:dyDescent="0.2">
      <c r="A84" s="216" t="s">
        <v>314</v>
      </c>
      <c r="B84" s="197" t="s">
        <v>294</v>
      </c>
      <c r="C84" s="187" t="s">
        <v>550</v>
      </c>
    </row>
    <row r="85" spans="1:3" x14ac:dyDescent="0.2">
      <c r="A85" s="216" t="s">
        <v>621</v>
      </c>
      <c r="B85" s="197" t="s">
        <v>620</v>
      </c>
      <c r="C85" s="187" t="s">
        <v>622</v>
      </c>
    </row>
    <row r="86" spans="1:3" x14ac:dyDescent="0.2">
      <c r="A86" s="216" t="s">
        <v>574</v>
      </c>
      <c r="B86" s="197" t="s">
        <v>573</v>
      </c>
      <c r="C86" s="187" t="s">
        <v>575</v>
      </c>
    </row>
    <row r="87" spans="1:3" x14ac:dyDescent="0.2">
      <c r="A87" s="216" t="s">
        <v>205</v>
      </c>
      <c r="B87" s="198" t="s">
        <v>297</v>
      </c>
      <c r="C87" s="186" t="s">
        <v>191</v>
      </c>
    </row>
    <row r="88" spans="1:3" x14ac:dyDescent="0.2">
      <c r="A88" s="216" t="s">
        <v>497</v>
      </c>
      <c r="B88" s="198" t="s">
        <v>543</v>
      </c>
      <c r="C88" s="186" t="s">
        <v>498</v>
      </c>
    </row>
    <row r="89" spans="1:3" x14ac:dyDescent="0.2">
      <c r="A89" s="216" t="s">
        <v>400</v>
      </c>
      <c r="B89" s="196" t="s">
        <v>298</v>
      </c>
      <c r="C89" s="186" t="s">
        <v>191</v>
      </c>
    </row>
    <row r="90" spans="1:3" x14ac:dyDescent="0.2">
      <c r="A90" s="216" t="s">
        <v>473</v>
      </c>
      <c r="B90" s="197" t="s">
        <v>300</v>
      </c>
      <c r="C90" s="182" t="s">
        <v>193</v>
      </c>
    </row>
    <row r="91" spans="1:3" x14ac:dyDescent="0.2">
      <c r="A91" s="216" t="s">
        <v>722</v>
      </c>
      <c r="B91" s="197" t="s">
        <v>713</v>
      </c>
      <c r="C91" s="182" t="s">
        <v>714</v>
      </c>
    </row>
    <row r="92" spans="1:3" x14ac:dyDescent="0.2">
      <c r="A92" s="216" t="s">
        <v>708</v>
      </c>
      <c r="B92" s="197" t="s">
        <v>707</v>
      </c>
      <c r="C92" s="239" t="s">
        <v>709</v>
      </c>
    </row>
    <row r="93" spans="1:3" x14ac:dyDescent="0.2">
      <c r="A93" s="216" t="s">
        <v>561</v>
      </c>
      <c r="B93" s="195" t="s">
        <v>309</v>
      </c>
      <c r="C93" s="186" t="s">
        <v>191</v>
      </c>
    </row>
    <row r="94" spans="1:3" x14ac:dyDescent="0.2">
      <c r="A94" s="216" t="s">
        <v>503</v>
      </c>
      <c r="B94" s="196" t="s">
        <v>546</v>
      </c>
      <c r="C94" s="182" t="s">
        <v>191</v>
      </c>
    </row>
    <row r="95" spans="1:3" x14ac:dyDescent="0.2">
      <c r="A95" s="216" t="s">
        <v>524</v>
      </c>
      <c r="B95" s="196" t="s">
        <v>523</v>
      </c>
      <c r="C95" s="182" t="s">
        <v>525</v>
      </c>
    </row>
    <row r="96" spans="1:3" x14ac:dyDescent="0.2">
      <c r="A96" s="216" t="s">
        <v>609</v>
      </c>
      <c r="B96" s="196" t="s">
        <v>608</v>
      </c>
      <c r="C96" s="182" t="s">
        <v>610</v>
      </c>
    </row>
    <row r="97" spans="1:3" x14ac:dyDescent="0.2">
      <c r="A97" s="216" t="s">
        <v>683</v>
      </c>
      <c r="B97" s="196" t="s">
        <v>682</v>
      </c>
      <c r="C97" s="182" t="s">
        <v>684</v>
      </c>
    </row>
    <row r="98" spans="1:3" x14ac:dyDescent="0.2">
      <c r="A98" s="216" t="s">
        <v>502</v>
      </c>
      <c r="B98" s="196" t="s">
        <v>501</v>
      </c>
      <c r="C98" s="182"/>
    </row>
    <row r="99" spans="1:3" ht="15" x14ac:dyDescent="0.25">
      <c r="A99" s="216" t="s">
        <v>474</v>
      </c>
      <c r="B99" s="210" t="s">
        <v>326</v>
      </c>
      <c r="C99" s="211" t="s">
        <v>193</v>
      </c>
    </row>
    <row r="100" spans="1:3" ht="15" x14ac:dyDescent="0.25">
      <c r="A100" s="216" t="s">
        <v>510</v>
      </c>
      <c r="B100" s="198" t="s">
        <v>509</v>
      </c>
      <c r="C100" s="184" t="s">
        <v>564</v>
      </c>
    </row>
    <row r="101" spans="1:3" ht="15" x14ac:dyDescent="0.25">
      <c r="A101" s="216" t="s">
        <v>217</v>
      </c>
      <c r="B101" s="198" t="s">
        <v>330</v>
      </c>
      <c r="C101" s="185"/>
    </row>
    <row r="102" spans="1:3" x14ac:dyDescent="0.2">
      <c r="A102" s="216" t="s">
        <v>663</v>
      </c>
      <c r="B102" s="198" t="s">
        <v>661</v>
      </c>
      <c r="C102" s="239" t="s">
        <v>662</v>
      </c>
    </row>
    <row r="103" spans="1:3" x14ac:dyDescent="0.2">
      <c r="A103" s="216" t="s">
        <v>340</v>
      </c>
      <c r="B103" s="200" t="s">
        <v>339</v>
      </c>
      <c r="C103" s="231" t="s">
        <v>446</v>
      </c>
    </row>
    <row r="104" spans="1:3" x14ac:dyDescent="0.2">
      <c r="A104" s="216" t="s">
        <v>227</v>
      </c>
      <c r="B104" s="200" t="s">
        <v>445</v>
      </c>
      <c r="C104" s="183" t="s">
        <v>128</v>
      </c>
    </row>
    <row r="105" spans="1:3" x14ac:dyDescent="0.2">
      <c r="A105" s="216" t="s">
        <v>646</v>
      </c>
      <c r="B105" s="200" t="s">
        <v>647</v>
      </c>
      <c r="C105" s="183"/>
    </row>
    <row r="106" spans="1:3" x14ac:dyDescent="0.2">
      <c r="A106" s="216" t="s">
        <v>487</v>
      </c>
      <c r="B106" s="200" t="s">
        <v>488</v>
      </c>
      <c r="C106" s="183"/>
    </row>
    <row r="107" spans="1:3" x14ac:dyDescent="0.2">
      <c r="A107" s="216" t="s">
        <v>234</v>
      </c>
      <c r="B107" s="197" t="s">
        <v>350</v>
      </c>
      <c r="C107" s="183" t="s">
        <v>188</v>
      </c>
    </row>
    <row r="108" spans="1:3" x14ac:dyDescent="0.2">
      <c r="A108" s="216" t="s">
        <v>475</v>
      </c>
      <c r="B108" s="197" t="s">
        <v>356</v>
      </c>
      <c r="C108" s="182" t="s">
        <v>190</v>
      </c>
    </row>
    <row r="109" spans="1:3" x14ac:dyDescent="0.2">
      <c r="A109" s="216" t="s">
        <v>551</v>
      </c>
      <c r="B109" s="197" t="s">
        <v>552</v>
      </c>
      <c r="C109" s="182"/>
    </row>
    <row r="110" spans="1:3" x14ac:dyDescent="0.2">
      <c r="A110" s="216">
        <v>901331496</v>
      </c>
      <c r="B110" s="197" t="s">
        <v>548</v>
      </c>
      <c r="C110" s="182" t="s">
        <v>549</v>
      </c>
    </row>
    <row r="111" spans="1:3" x14ac:dyDescent="0.2">
      <c r="A111" s="216" t="s">
        <v>673</v>
      </c>
      <c r="B111" s="197" t="s">
        <v>672</v>
      </c>
      <c r="C111" s="239" t="s">
        <v>674</v>
      </c>
    </row>
    <row r="112" spans="1:3" x14ac:dyDescent="0.2">
      <c r="A112" s="216" t="s">
        <v>531</v>
      </c>
      <c r="B112" s="197" t="s">
        <v>530</v>
      </c>
      <c r="C112" s="182"/>
    </row>
    <row r="113" spans="1:3" x14ac:dyDescent="0.2">
      <c r="A113" s="216" t="s">
        <v>242</v>
      </c>
      <c r="B113" s="195" t="s">
        <v>359</v>
      </c>
      <c r="C113" s="182"/>
    </row>
    <row r="114" spans="1:3" x14ac:dyDescent="0.2">
      <c r="A114" s="216" t="s">
        <v>422</v>
      </c>
      <c r="B114" s="195" t="s">
        <v>423</v>
      </c>
      <c r="C114" s="182"/>
    </row>
    <row r="115" spans="1:3" x14ac:dyDescent="0.2">
      <c r="A115" s="216" t="s">
        <v>411</v>
      </c>
      <c r="B115" s="195" t="s">
        <v>410</v>
      </c>
      <c r="C115" s="186" t="s">
        <v>128</v>
      </c>
    </row>
    <row r="116" spans="1:3" x14ac:dyDescent="0.2">
      <c r="A116" s="216" t="s">
        <v>245</v>
      </c>
      <c r="B116" s="196" t="s">
        <v>363</v>
      </c>
      <c r="C116" s="186" t="s">
        <v>193</v>
      </c>
    </row>
    <row r="117" spans="1:3" x14ac:dyDescent="0.2">
      <c r="A117" s="216" t="s">
        <v>246</v>
      </c>
      <c r="B117" s="196" t="s">
        <v>364</v>
      </c>
      <c r="C117" s="182"/>
    </row>
    <row r="118" spans="1:3" x14ac:dyDescent="0.2">
      <c r="A118" s="216" t="s">
        <v>533</v>
      </c>
      <c r="B118" s="196" t="s">
        <v>532</v>
      </c>
      <c r="C118" s="182" t="s">
        <v>191</v>
      </c>
    </row>
    <row r="119" spans="1:3" x14ac:dyDescent="0.2">
      <c r="A119" s="216" t="s">
        <v>342</v>
      </c>
      <c r="B119" s="195" t="s">
        <v>341</v>
      </c>
      <c r="C119" s="186" t="s">
        <v>128</v>
      </c>
    </row>
    <row r="120" spans="1:3" x14ac:dyDescent="0.2">
      <c r="A120" s="216" t="s">
        <v>607</v>
      </c>
      <c r="B120" s="203" t="s">
        <v>606</v>
      </c>
      <c r="C120" s="182"/>
    </row>
    <row r="121" spans="1:3" x14ac:dyDescent="0.2">
      <c r="A121" s="216" t="s">
        <v>370</v>
      </c>
      <c r="B121" s="196" t="s">
        <v>369</v>
      </c>
      <c r="C121" s="186" t="s">
        <v>436</v>
      </c>
    </row>
    <row r="122" spans="1:3" x14ac:dyDescent="0.2">
      <c r="A122" s="216" t="s">
        <v>597</v>
      </c>
      <c r="B122" s="196" t="s">
        <v>598</v>
      </c>
      <c r="C122" s="186" t="s">
        <v>605</v>
      </c>
    </row>
    <row r="123" spans="1:3" x14ac:dyDescent="0.2">
      <c r="A123" s="216" t="s">
        <v>435</v>
      </c>
      <c r="B123" s="196" t="s">
        <v>434</v>
      </c>
      <c r="C123" s="186" t="s">
        <v>128</v>
      </c>
    </row>
    <row r="124" spans="1:3" x14ac:dyDescent="0.2">
      <c r="A124" s="216" t="s">
        <v>261</v>
      </c>
      <c r="B124" s="196" t="s">
        <v>376</v>
      </c>
      <c r="C124" s="182" t="s">
        <v>191</v>
      </c>
    </row>
    <row r="125" spans="1:3" x14ac:dyDescent="0.2">
      <c r="A125" s="216" t="s">
        <v>381</v>
      </c>
      <c r="B125" s="227" t="s">
        <v>380</v>
      </c>
      <c r="C125" s="182"/>
    </row>
    <row r="126" spans="1:3" x14ac:dyDescent="0.2">
      <c r="A126" s="216" t="s">
        <v>466</v>
      </c>
      <c r="B126" s="195" t="s">
        <v>465</v>
      </c>
      <c r="C126" s="182"/>
    </row>
    <row r="127" spans="1:3" x14ac:dyDescent="0.2">
      <c r="A127" s="216" t="s">
        <v>537</v>
      </c>
      <c r="B127" s="228" t="s">
        <v>536</v>
      </c>
      <c r="C127" s="182" t="s">
        <v>128</v>
      </c>
    </row>
    <row r="128" spans="1:3" x14ac:dyDescent="0.2">
      <c r="A128" s="216" t="s">
        <v>448</v>
      </c>
      <c r="B128" s="195" t="s">
        <v>449</v>
      </c>
      <c r="C128" s="182" t="s">
        <v>191</v>
      </c>
    </row>
    <row r="129" spans="1:3" x14ac:dyDescent="0.2">
      <c r="A129" s="216" t="s">
        <v>388</v>
      </c>
      <c r="B129" s="195" t="s">
        <v>386</v>
      </c>
      <c r="C129" s="182" t="s">
        <v>191</v>
      </c>
    </row>
    <row r="130" spans="1:3" x14ac:dyDescent="0.2">
      <c r="A130" s="216" t="s">
        <v>271</v>
      </c>
      <c r="B130" s="195" t="s">
        <v>389</v>
      </c>
      <c r="C130" s="183" t="s">
        <v>263</v>
      </c>
    </row>
    <row r="131" spans="1:3" x14ac:dyDescent="0.2">
      <c r="A131" s="216" t="s">
        <v>485</v>
      </c>
      <c r="B131" s="195" t="s">
        <v>547</v>
      </c>
      <c r="C131" s="183"/>
    </row>
    <row r="132" spans="1:3" x14ac:dyDescent="0.2">
      <c r="A132" s="216" t="s">
        <v>511</v>
      </c>
      <c r="B132" s="196" t="s">
        <v>545</v>
      </c>
      <c r="C132" s="182"/>
    </row>
    <row r="133" spans="1:3" x14ac:dyDescent="0.2">
      <c r="A133" s="216" t="s">
        <v>262</v>
      </c>
      <c r="B133" s="200" t="s">
        <v>382</v>
      </c>
      <c r="C133" s="183"/>
    </row>
    <row r="134" spans="1:3" x14ac:dyDescent="0.2">
      <c r="A134" s="216" t="s">
        <v>416</v>
      </c>
      <c r="B134" s="200" t="s">
        <v>415</v>
      </c>
      <c r="C134" s="186" t="s">
        <v>128</v>
      </c>
    </row>
    <row r="135" spans="1:3" x14ac:dyDescent="0.2">
      <c r="A135" s="216" t="s">
        <v>542</v>
      </c>
      <c r="B135" s="198" t="s">
        <v>541</v>
      </c>
      <c r="C135" s="186"/>
    </row>
    <row r="136" spans="1:3" x14ac:dyDescent="0.2">
      <c r="A136" s="216" t="s">
        <v>273</v>
      </c>
      <c r="B136" s="197" t="s">
        <v>391</v>
      </c>
      <c r="C136" s="182"/>
    </row>
    <row r="137" spans="1:3" x14ac:dyDescent="0.2">
      <c r="A137" s="216" t="s">
        <v>599</v>
      </c>
      <c r="B137" s="197" t="s">
        <v>600</v>
      </c>
      <c r="C137" s="182"/>
    </row>
    <row r="138" spans="1:3" x14ac:dyDescent="0.2">
      <c r="A138" s="216" t="s">
        <v>332</v>
      </c>
      <c r="B138" s="195" t="s">
        <v>331</v>
      </c>
      <c r="C138" s="182"/>
    </row>
    <row r="139" spans="1:3" x14ac:dyDescent="0.2">
      <c r="A139" s="216" t="s">
        <v>324</v>
      </c>
      <c r="B139" s="195" t="s">
        <v>323</v>
      </c>
      <c r="C139" s="191" t="s">
        <v>218</v>
      </c>
    </row>
    <row r="140" spans="1:3" x14ac:dyDescent="0.2">
      <c r="A140" s="216" t="s">
        <v>705</v>
      </c>
      <c r="B140" s="195" t="s">
        <v>704</v>
      </c>
      <c r="C140" s="191" t="s">
        <v>706</v>
      </c>
    </row>
    <row r="141" spans="1:3" x14ac:dyDescent="0.2">
      <c r="A141" s="216" t="s">
        <v>220</v>
      </c>
      <c r="B141" s="200" t="s">
        <v>154</v>
      </c>
      <c r="C141" s="186" t="s">
        <v>128</v>
      </c>
    </row>
    <row r="142" spans="1:3" x14ac:dyDescent="0.2">
      <c r="A142" s="216" t="s">
        <v>222</v>
      </c>
      <c r="B142" s="196" t="s">
        <v>223</v>
      </c>
      <c r="C142" s="234" t="s">
        <v>224</v>
      </c>
    </row>
    <row r="143" spans="1:3" x14ac:dyDescent="0.2">
      <c r="A143" s="216" t="s">
        <v>654</v>
      </c>
      <c r="B143" s="196" t="s">
        <v>655</v>
      </c>
      <c r="C143" s="238" t="s">
        <v>656</v>
      </c>
    </row>
    <row r="144" spans="1:3" ht="15" x14ac:dyDescent="0.2">
      <c r="A144" s="216" t="s">
        <v>476</v>
      </c>
      <c r="B144" s="196" t="s">
        <v>1487</v>
      </c>
      <c r="C144" s="192" t="s">
        <v>219</v>
      </c>
    </row>
    <row r="145" spans="1:3" ht="15" x14ac:dyDescent="0.25">
      <c r="A145" s="216" t="s">
        <v>419</v>
      </c>
      <c r="B145" s="196" t="s">
        <v>420</v>
      </c>
      <c r="C145" s="184"/>
    </row>
    <row r="146" spans="1:3" ht="15" x14ac:dyDescent="0.2">
      <c r="A146" s="216">
        <v>900445344</v>
      </c>
      <c r="B146" s="196" t="s">
        <v>628</v>
      </c>
      <c r="C146" s="192"/>
    </row>
    <row r="147" spans="1:3" x14ac:dyDescent="0.2">
      <c r="A147" s="216" t="s">
        <v>701</v>
      </c>
      <c r="B147" s="196" t="s">
        <v>703</v>
      </c>
      <c r="C147" s="256" t="s">
        <v>702</v>
      </c>
    </row>
    <row r="148" spans="1:3" x14ac:dyDescent="0.2">
      <c r="A148" s="216" t="s">
        <v>312</v>
      </c>
      <c r="B148" s="199" t="s">
        <v>291</v>
      </c>
      <c r="C148" s="183" t="s">
        <v>188</v>
      </c>
    </row>
    <row r="149" spans="1:3" x14ac:dyDescent="0.2">
      <c r="A149" s="216" t="s">
        <v>711</v>
      </c>
      <c r="B149" s="199" t="s">
        <v>710</v>
      </c>
      <c r="C149" s="183"/>
    </row>
    <row r="150" spans="1:3" x14ac:dyDescent="0.2">
      <c r="A150" s="216">
        <v>43027434</v>
      </c>
      <c r="B150" s="197" t="s">
        <v>464</v>
      </c>
      <c r="C150" s="182"/>
    </row>
    <row r="151" spans="1:3" x14ac:dyDescent="0.2">
      <c r="A151" s="216" t="s">
        <v>539</v>
      </c>
      <c r="B151" s="203" t="s">
        <v>544</v>
      </c>
      <c r="C151" s="182" t="s">
        <v>540</v>
      </c>
    </row>
    <row r="152" spans="1:3" x14ac:dyDescent="0.2">
      <c r="A152" s="216" t="s">
        <v>394</v>
      </c>
      <c r="B152" s="196" t="s">
        <v>477</v>
      </c>
      <c r="C152" s="182" t="s">
        <v>221</v>
      </c>
    </row>
    <row r="153" spans="1:3" x14ac:dyDescent="0.2">
      <c r="A153" s="216" t="s">
        <v>611</v>
      </c>
      <c r="B153" s="203" t="s">
        <v>612</v>
      </c>
      <c r="C153" s="182" t="s">
        <v>613</v>
      </c>
    </row>
    <row r="154" spans="1:3" ht="15" x14ac:dyDescent="0.25">
      <c r="A154" s="216" t="s">
        <v>353</v>
      </c>
      <c r="B154" s="195" t="s">
        <v>352</v>
      </c>
      <c r="C154" s="193" t="s">
        <v>244</v>
      </c>
    </row>
    <row r="155" spans="1:3" x14ac:dyDescent="0.2">
      <c r="A155" s="216" t="s">
        <v>483</v>
      </c>
      <c r="B155" s="195" t="s">
        <v>482</v>
      </c>
      <c r="C155" s="182"/>
    </row>
    <row r="156" spans="1:3" x14ac:dyDescent="0.2">
      <c r="A156" s="216" t="s">
        <v>699</v>
      </c>
      <c r="B156" s="195" t="s">
        <v>698</v>
      </c>
      <c r="C156" s="239" t="s">
        <v>700</v>
      </c>
    </row>
    <row r="157" spans="1:3" ht="15" x14ac:dyDescent="0.25">
      <c r="A157" s="216" t="s">
        <v>478</v>
      </c>
      <c r="B157" s="197" t="s">
        <v>243</v>
      </c>
      <c r="C157" s="185"/>
    </row>
    <row r="158" spans="1:3" x14ac:dyDescent="0.2">
      <c r="A158" s="216" t="s">
        <v>399</v>
      </c>
      <c r="B158" s="200" t="s">
        <v>301</v>
      </c>
      <c r="C158" s="186"/>
    </row>
    <row r="159" spans="1:3" x14ac:dyDescent="0.2">
      <c r="A159" s="216" t="s">
        <v>322</v>
      </c>
      <c r="B159" s="196" t="s">
        <v>633</v>
      </c>
      <c r="C159" s="230" t="s">
        <v>634</v>
      </c>
    </row>
    <row r="160" spans="1:3" x14ac:dyDescent="0.2">
      <c r="A160" s="216" t="s">
        <v>631</v>
      </c>
      <c r="B160" s="196" t="s">
        <v>630</v>
      </c>
      <c r="C160" s="182" t="s">
        <v>632</v>
      </c>
    </row>
    <row r="161" spans="1:3" x14ac:dyDescent="0.2">
      <c r="A161" s="216" t="s">
        <v>313</v>
      </c>
      <c r="B161" s="200" t="s">
        <v>292</v>
      </c>
      <c r="C161" s="183" t="s">
        <v>249</v>
      </c>
    </row>
    <row r="162" spans="1:3" x14ac:dyDescent="0.2">
      <c r="A162" s="216" t="s">
        <v>247</v>
      </c>
      <c r="B162" s="200" t="s">
        <v>248</v>
      </c>
      <c r="C162" s="186" t="s">
        <v>191</v>
      </c>
    </row>
    <row r="163" spans="1:3" x14ac:dyDescent="0.2">
      <c r="A163" s="216" t="s">
        <v>254</v>
      </c>
      <c r="B163" s="197" t="s">
        <v>255</v>
      </c>
      <c r="C163" s="182" t="s">
        <v>191</v>
      </c>
    </row>
    <row r="164" spans="1:3" x14ac:dyDescent="0.2">
      <c r="A164" s="216" t="s">
        <v>494</v>
      </c>
      <c r="B164" s="200" t="s">
        <v>493</v>
      </c>
      <c r="C164" s="186" t="s">
        <v>495</v>
      </c>
    </row>
    <row r="165" spans="1:3" x14ac:dyDescent="0.2">
      <c r="A165" s="216" t="s">
        <v>479</v>
      </c>
      <c r="B165" s="200" t="s">
        <v>373</v>
      </c>
      <c r="C165" s="182" t="s">
        <v>191</v>
      </c>
    </row>
    <row r="166" spans="1:3" x14ac:dyDescent="0.2">
      <c r="A166" s="216" t="s">
        <v>260</v>
      </c>
      <c r="B166" s="200" t="s">
        <v>375</v>
      </c>
      <c r="C166" s="182" t="s">
        <v>614</v>
      </c>
    </row>
    <row r="167" spans="1:3" x14ac:dyDescent="0.2">
      <c r="A167" s="216" t="s">
        <v>421</v>
      </c>
      <c r="B167" s="200" t="s">
        <v>467</v>
      </c>
      <c r="C167" s="186" t="s">
        <v>265</v>
      </c>
    </row>
    <row r="168" spans="1:3" x14ac:dyDescent="0.2">
      <c r="A168" s="216" t="s">
        <v>686</v>
      </c>
      <c r="B168" s="200" t="s">
        <v>685</v>
      </c>
      <c r="C168" s="253" t="s">
        <v>687</v>
      </c>
    </row>
    <row r="169" spans="1:3" x14ac:dyDescent="0.2">
      <c r="A169" s="216" t="s">
        <v>264</v>
      </c>
      <c r="B169" s="196" t="s">
        <v>383</v>
      </c>
      <c r="C169" s="186"/>
    </row>
    <row r="170" spans="1:3" x14ac:dyDescent="0.2">
      <c r="A170" s="216" t="s">
        <v>401</v>
      </c>
      <c r="B170" s="196" t="s">
        <v>437</v>
      </c>
      <c r="C170" s="182" t="s">
        <v>267</v>
      </c>
    </row>
    <row r="171" spans="1:3" x14ac:dyDescent="0.2">
      <c r="A171" s="216" t="s">
        <v>266</v>
      </c>
      <c r="B171" s="195" t="s">
        <v>384</v>
      </c>
      <c r="C171" s="182"/>
    </row>
    <row r="172" spans="1:3" x14ac:dyDescent="0.2">
      <c r="A172" s="216" t="s">
        <v>480</v>
      </c>
      <c r="B172" s="195" t="s">
        <v>447</v>
      </c>
      <c r="C172" s="182"/>
    </row>
    <row r="173" spans="1:3" x14ac:dyDescent="0.2">
      <c r="A173" s="216" t="s">
        <v>658</v>
      </c>
      <c r="B173" s="195" t="s">
        <v>657</v>
      </c>
      <c r="C173" s="239" t="s">
        <v>659</v>
      </c>
    </row>
    <row r="174" spans="1:3" x14ac:dyDescent="0.2">
      <c r="A174" s="216" t="s">
        <v>626</v>
      </c>
      <c r="B174" s="195" t="s">
        <v>625</v>
      </c>
      <c r="C174" s="182" t="s">
        <v>627</v>
      </c>
    </row>
    <row r="175" spans="1:3" x14ac:dyDescent="0.2">
      <c r="A175" s="216" t="s">
        <v>315</v>
      </c>
      <c r="B175" s="195" t="s">
        <v>295</v>
      </c>
      <c r="C175" s="186" t="s">
        <v>193</v>
      </c>
    </row>
    <row r="176" spans="1:3" x14ac:dyDescent="0.2">
      <c r="A176" s="216" t="s">
        <v>569</v>
      </c>
      <c r="B176" s="195" t="s">
        <v>568</v>
      </c>
      <c r="C176" s="186" t="s">
        <v>570</v>
      </c>
    </row>
    <row r="177" spans="1:3" x14ac:dyDescent="0.2">
      <c r="A177" s="216" t="s">
        <v>212</v>
      </c>
      <c r="B177" s="196" t="s">
        <v>318</v>
      </c>
      <c r="C177" s="186" t="s">
        <v>193</v>
      </c>
    </row>
    <row r="178" spans="1:3" x14ac:dyDescent="0.2">
      <c r="A178" s="216" t="s">
        <v>185</v>
      </c>
      <c r="B178" s="200" t="s">
        <v>489</v>
      </c>
      <c r="C178" s="186" t="s">
        <v>457</v>
      </c>
    </row>
    <row r="179" spans="1:3" x14ac:dyDescent="0.2">
      <c r="A179" s="216" t="s">
        <v>450</v>
      </c>
      <c r="B179" s="196" t="s">
        <v>456</v>
      </c>
      <c r="C179" s="182"/>
    </row>
    <row r="180" spans="1:3" x14ac:dyDescent="0.2">
      <c r="A180" s="216" t="s">
        <v>406</v>
      </c>
      <c r="B180" s="202" t="s">
        <v>405</v>
      </c>
      <c r="C180" s="182" t="s">
        <v>526</v>
      </c>
    </row>
    <row r="181" spans="1:3" x14ac:dyDescent="0.2">
      <c r="A181" s="216" t="s">
        <v>334</v>
      </c>
      <c r="B181" s="202" t="s">
        <v>333</v>
      </c>
      <c r="C181" s="182" t="s">
        <v>191</v>
      </c>
    </row>
    <row r="182" spans="1:3" x14ac:dyDescent="0.2">
      <c r="A182" s="216" t="s">
        <v>583</v>
      </c>
      <c r="B182" s="202" t="s">
        <v>585</v>
      </c>
      <c r="C182" s="182" t="s">
        <v>584</v>
      </c>
    </row>
    <row r="183" spans="1:3" x14ac:dyDescent="0.2">
      <c r="A183" s="216" t="s">
        <v>272</v>
      </c>
      <c r="B183" s="200" t="s">
        <v>390</v>
      </c>
      <c r="C183" s="182" t="s">
        <v>191</v>
      </c>
    </row>
    <row r="184" spans="1:3" x14ac:dyDescent="0.2">
      <c r="A184" s="216" t="s">
        <v>596</v>
      </c>
      <c r="B184" s="200" t="s">
        <v>595</v>
      </c>
      <c r="C184" s="182"/>
    </row>
    <row r="185" spans="1:3" ht="15" x14ac:dyDescent="0.25">
      <c r="A185" s="216" t="s">
        <v>200</v>
      </c>
      <c r="B185" s="200" t="s">
        <v>293</v>
      </c>
      <c r="C185" s="189"/>
    </row>
    <row r="186" spans="1:3" x14ac:dyDescent="0.2">
      <c r="A186" s="216" t="s">
        <v>651</v>
      </c>
      <c r="B186" s="200" t="s">
        <v>652</v>
      </c>
      <c r="C186" s="235" t="s">
        <v>653</v>
      </c>
    </row>
    <row r="187" spans="1:3" x14ac:dyDescent="0.2">
      <c r="A187" s="216" t="s">
        <v>398</v>
      </c>
      <c r="B187" s="201" t="s">
        <v>302</v>
      </c>
      <c r="C187" s="186" t="s">
        <v>308</v>
      </c>
    </row>
    <row r="188" spans="1:3" x14ac:dyDescent="0.2">
      <c r="A188" s="216" t="s">
        <v>481</v>
      </c>
      <c r="B188" s="196" t="s">
        <v>306</v>
      </c>
      <c r="C188" s="186" t="s">
        <v>191</v>
      </c>
    </row>
    <row r="189" spans="1:3" x14ac:dyDescent="0.2">
      <c r="A189" s="216" t="s">
        <v>213</v>
      </c>
      <c r="B189" s="197" t="s">
        <v>320</v>
      </c>
      <c r="C189" s="186" t="s">
        <v>191</v>
      </c>
    </row>
    <row r="190" spans="1:3" x14ac:dyDescent="0.2">
      <c r="A190" s="216" t="s">
        <v>689</v>
      </c>
      <c r="B190" s="197" t="s">
        <v>688</v>
      </c>
      <c r="C190" s="253" t="s">
        <v>690</v>
      </c>
    </row>
    <row r="191" spans="1:3" x14ac:dyDescent="0.2">
      <c r="A191" s="216" t="s">
        <v>216</v>
      </c>
      <c r="B191" s="197" t="s">
        <v>329</v>
      </c>
      <c r="C191" s="186" t="s">
        <v>191</v>
      </c>
    </row>
    <row r="192" spans="1:3" x14ac:dyDescent="0.2">
      <c r="A192" s="216" t="s">
        <v>225</v>
      </c>
      <c r="B192" s="196" t="s">
        <v>338</v>
      </c>
      <c r="C192" s="182" t="s">
        <v>191</v>
      </c>
    </row>
    <row r="193" spans="1:3" x14ac:dyDescent="0.2">
      <c r="A193" s="216" t="s">
        <v>226</v>
      </c>
      <c r="B193" s="200" t="s">
        <v>337</v>
      </c>
      <c r="C193" s="239" t="s">
        <v>690</v>
      </c>
    </row>
    <row r="194" spans="1:3" x14ac:dyDescent="0.2">
      <c r="A194" s="216" t="s">
        <v>588</v>
      </c>
      <c r="B194" s="200" t="s">
        <v>587</v>
      </c>
      <c r="C194" s="230" t="s">
        <v>586</v>
      </c>
    </row>
    <row r="195" spans="1:3" x14ac:dyDescent="0.2">
      <c r="A195" s="216" t="s">
        <v>344</v>
      </c>
      <c r="B195" s="200" t="s">
        <v>343</v>
      </c>
      <c r="C195" s="186" t="s">
        <v>238</v>
      </c>
    </row>
    <row r="196" spans="1:3" x14ac:dyDescent="0.2">
      <c r="A196" s="216" t="s">
        <v>556</v>
      </c>
      <c r="B196" s="200" t="s">
        <v>555</v>
      </c>
      <c r="C196" s="186"/>
    </row>
    <row r="197" spans="1:3" x14ac:dyDescent="0.2">
      <c r="A197" s="216" t="s">
        <v>1462</v>
      </c>
      <c r="B197" s="196" t="s">
        <v>1461</v>
      </c>
      <c r="C197" s="281"/>
    </row>
    <row r="198" spans="1:3" x14ac:dyDescent="0.2">
      <c r="A198" s="216" t="s">
        <v>237</v>
      </c>
      <c r="B198" s="196" t="s">
        <v>354</v>
      </c>
      <c r="C198" s="186" t="s">
        <v>362</v>
      </c>
    </row>
    <row r="199" spans="1:3" x14ac:dyDescent="0.2">
      <c r="A199" s="216" t="s">
        <v>641</v>
      </c>
      <c r="B199" s="196" t="s">
        <v>640</v>
      </c>
      <c r="C199" s="186" t="s">
        <v>642</v>
      </c>
    </row>
    <row r="200" spans="1:3" x14ac:dyDescent="0.2">
      <c r="A200" s="216" t="s">
        <v>505</v>
      </c>
      <c r="B200" s="196" t="s">
        <v>504</v>
      </c>
      <c r="C200" s="186"/>
    </row>
    <row r="201" spans="1:3" x14ac:dyDescent="0.2">
      <c r="A201" s="216" t="s">
        <v>361</v>
      </c>
      <c r="B201" s="196" t="s">
        <v>360</v>
      </c>
      <c r="C201" s="186" t="s">
        <v>431</v>
      </c>
    </row>
    <row r="202" spans="1:3" x14ac:dyDescent="0.2">
      <c r="A202" s="216" t="s">
        <v>430</v>
      </c>
      <c r="B202" s="196" t="s">
        <v>429</v>
      </c>
      <c r="C202" s="186" t="s">
        <v>431</v>
      </c>
    </row>
    <row r="203" spans="1:3" ht="15" x14ac:dyDescent="0.25">
      <c r="A203" s="216" t="s">
        <v>250</v>
      </c>
      <c r="B203" s="197" t="s">
        <v>365</v>
      </c>
      <c r="C203" s="188"/>
    </row>
    <row r="204" spans="1:3" x14ac:dyDescent="0.2">
      <c r="A204" s="216" t="s">
        <v>486</v>
      </c>
      <c r="B204" s="196" t="s">
        <v>521</v>
      </c>
      <c r="C204" s="182" t="s">
        <v>522</v>
      </c>
    </row>
    <row r="205" spans="1:3" x14ac:dyDescent="0.2">
      <c r="A205" s="216" t="s">
        <v>253</v>
      </c>
      <c r="B205" s="208" t="s">
        <v>367</v>
      </c>
      <c r="C205" s="232" t="s">
        <v>128</v>
      </c>
    </row>
    <row r="206" spans="1:3" x14ac:dyDescent="0.2">
      <c r="A206" s="216" t="s">
        <v>513</v>
      </c>
      <c r="B206" s="200" t="s">
        <v>512</v>
      </c>
      <c r="C206" s="182"/>
    </row>
    <row r="207" spans="1:3" x14ac:dyDescent="0.2">
      <c r="A207" s="216" t="s">
        <v>256</v>
      </c>
      <c r="B207" s="200" t="s">
        <v>371</v>
      </c>
      <c r="C207" s="186" t="s">
        <v>191</v>
      </c>
    </row>
    <row r="208" spans="1:3" ht="15" x14ac:dyDescent="0.25">
      <c r="A208" s="216" t="s">
        <v>257</v>
      </c>
      <c r="B208" s="197" t="s">
        <v>372</v>
      </c>
      <c r="C208" s="184" t="s">
        <v>193</v>
      </c>
    </row>
    <row r="209" spans="1:3" x14ac:dyDescent="0.2">
      <c r="A209" s="216" t="s">
        <v>268</v>
      </c>
      <c r="B209" s="199" t="s">
        <v>385</v>
      </c>
      <c r="C209" s="186" t="s">
        <v>191</v>
      </c>
    </row>
    <row r="210" spans="1:3" x14ac:dyDescent="0.2">
      <c r="A210" s="216" t="s">
        <v>379</v>
      </c>
      <c r="B210" s="196" t="s">
        <v>287</v>
      </c>
      <c r="C210" s="182" t="s">
        <v>193</v>
      </c>
    </row>
    <row r="211" spans="1:3" x14ac:dyDescent="0.2">
      <c r="A211" s="216" t="s">
        <v>518</v>
      </c>
      <c r="B211" s="199" t="s">
        <v>517</v>
      </c>
      <c r="C211" s="186" t="s">
        <v>519</v>
      </c>
    </row>
    <row r="212" spans="1:3" x14ac:dyDescent="0.2">
      <c r="A212" s="216" t="s">
        <v>393</v>
      </c>
      <c r="B212" s="195" t="s">
        <v>392</v>
      </c>
      <c r="C212" s="206"/>
    </row>
    <row r="213" spans="1:3" x14ac:dyDescent="0.2">
      <c r="A213" s="216" t="s">
        <v>637</v>
      </c>
      <c r="B213" s="195" t="s">
        <v>636</v>
      </c>
      <c r="C213" s="233" t="s">
        <v>638</v>
      </c>
    </row>
  </sheetData>
  <autoFilter ref="A1:C213" xr:uid="{00000000-0001-0000-0400-000000000000}"/>
  <sortState xmlns:xlrd2="http://schemas.microsoft.com/office/spreadsheetml/2017/richdata2" ref="A2:C213">
    <sortCondition ref="B2:B213"/>
  </sortState>
  <phoneticPr fontId="36" type="noConversion"/>
  <conditionalFormatting sqref="A2:A213">
    <cfRule type="duplicateValues" dxfId="2" priority="11"/>
    <cfRule type="duplicateValues" dxfId="1" priority="12"/>
  </conditionalFormatting>
  <hyperlinks>
    <hyperlink ref="C26" r:id="rId1" xr:uid="{592DB8D1-4DE0-4A24-9EA8-6F022BAF3B6A}"/>
    <hyperlink ref="C99" r:id="rId2" xr:uid="{8C4FEB34-47CE-4611-A19C-2AF8BE24E4FE}"/>
    <hyperlink ref="C148" r:id="rId3" xr:uid="{7E387708-AA35-4270-88F5-BE2215046AA4}"/>
    <hyperlink ref="C104" r:id="rId4" display="edificiomarat@yahoo.com" xr:uid="{F96FA98F-BD2E-4F70-9419-B0393FA48F08}"/>
    <hyperlink ref="C49" r:id="rId5" xr:uid="{087E44AA-BB38-4B07-A693-32B506B5F95E}"/>
    <hyperlink ref="C107" r:id="rId6" xr:uid="{F981CE47-7ADF-44F0-9145-876A34C50BE2}"/>
    <hyperlink ref="C207" r:id="rId7" xr:uid="{A433643C-5822-4149-8C9C-99A820504C74}"/>
    <hyperlink ref="C205" r:id="rId8" display="tesoreria@admonyasesorias.com" xr:uid="{C7B45E4C-B211-4255-85AD-8537EFE75AAE}"/>
    <hyperlink ref="C183" r:id="rId9" xr:uid="{012A752A-4839-42F4-8685-2782B9C1D450}"/>
    <hyperlink ref="C189" r:id="rId10" xr:uid="{035640F8-310A-4BD1-AF17-31A7118B3CD3}"/>
    <hyperlink ref="C181" r:id="rId11" xr:uid="{264F109B-EF97-45CD-ABE2-953167E5B311}"/>
    <hyperlink ref="C89" r:id="rId12" xr:uid="{80E61E8C-F9C1-49AC-8335-91C868B6F788}"/>
    <hyperlink ref="C134" r:id="rId13" display="tesoreria@admonyasesorias.com" xr:uid="{F2983B1D-9489-4825-90FB-68F1A67A8653}"/>
    <hyperlink ref="C6" r:id="rId14" xr:uid="{059DD4D3-2D1B-40D6-B3FB-030D3F317959}"/>
    <hyperlink ref="C162" r:id="rId15" xr:uid="{D0ED671F-D5B3-4EDA-A372-A40F2C6F4F6C}"/>
    <hyperlink ref="C66" r:id="rId16" xr:uid="{2E2F24DA-60B4-44DA-83C7-D4BE3D2F4069}"/>
    <hyperlink ref="C188" r:id="rId17" xr:uid="{31531F62-F44F-430F-A43E-DE68BDFCC673}"/>
    <hyperlink ref="C192" r:id="rId18" xr:uid="{04F2D911-819F-4269-B88F-ABF3C17932DB}"/>
    <hyperlink ref="C28" r:id="rId19" xr:uid="{91CC1EB5-1413-4F56-BE95-B811DFB39A6F}"/>
    <hyperlink ref="C47" r:id="rId20" xr:uid="{5085EB80-3A9A-49EE-B23C-6718CAB363D6}"/>
    <hyperlink ref="C165" r:id="rId21" xr:uid="{183407A1-C7DF-46E7-A65F-4C22683D19FD}"/>
    <hyperlink ref="C152" r:id="rId22" xr:uid="{27FD0FE6-D3C0-47AC-A3BA-E349CC79334C}"/>
    <hyperlink ref="C24" r:id="rId23" xr:uid="{0104E210-C069-48BA-8EBC-6FA479E6825B}"/>
    <hyperlink ref="C34" r:id="rId24" xr:uid="{8DA4393B-DC0F-46D3-9B5E-4D9F6A47EA90}"/>
    <hyperlink ref="C175" r:id="rId25" xr:uid="{15AB188F-2F71-4729-AA1B-CD3E219F1A16}"/>
    <hyperlink ref="C208" r:id="rId26" xr:uid="{790F54A6-F853-47DF-BF79-BA6F9A1E929F}"/>
    <hyperlink ref="C80" r:id="rId27" xr:uid="{2812D3CA-E55C-4CDC-9FFB-E5AF8CE1CEC0}"/>
    <hyperlink ref="C161" r:id="rId28" xr:uid="{694B2F7C-5793-444D-9780-62D9DC46364C}"/>
    <hyperlink ref="C61" r:id="rId29" xr:uid="{243822AC-58A8-47CC-8DF7-0BE253702920}"/>
    <hyperlink ref="C48" r:id="rId30" xr:uid="{46593A5D-93DE-4BC6-9455-38E7DAE12105}"/>
    <hyperlink ref="C154" r:id="rId31" xr:uid="{A0DE03B6-84F0-475A-8536-777EBEA84D79}"/>
    <hyperlink ref="C53" r:id="rId32" xr:uid="{89A02556-A6FD-4510-9672-141FF3D8A009}"/>
    <hyperlink ref="C79" r:id="rId33" xr:uid="{CC9C59EC-B4B2-4015-9077-59DE6970712C}"/>
    <hyperlink ref="C11" r:id="rId34" xr:uid="{9F1E7512-4417-400F-969E-B0F093E0B3C5}"/>
    <hyperlink ref="C38" r:id="rId35" xr:uid="{2E8B4126-19CD-4428-8CCB-BCF830B56046}"/>
    <hyperlink ref="C130" r:id="rId36" xr:uid="{05279B21-FEBE-4079-9770-C8B69669256E}"/>
    <hyperlink ref="C46" r:id="rId37" xr:uid="{DFB3F7A1-D4E9-4DF3-BBD9-A80CF6CC7156}"/>
    <hyperlink ref="C144" r:id="rId38" xr:uid="{0F55674C-88AA-4460-BE42-2B08EDB87CA7}"/>
    <hyperlink ref="C10" r:id="rId39" xr:uid="{A76E20D7-7ACF-4A50-9358-E06FF947C368}"/>
    <hyperlink ref="C12" r:id="rId40" xr:uid="{565EB246-A7DB-4E0C-B71E-9EBD877E08AE}"/>
    <hyperlink ref="C7" r:id="rId41" xr:uid="{99B855F4-8B4B-4A0F-923D-500B5AF20502}"/>
    <hyperlink ref="C139" r:id="rId42" xr:uid="{D5540163-79C6-4688-9BD0-A263F74A09A4}"/>
    <hyperlink ref="C87" r:id="rId43" xr:uid="{D867C7C0-6589-420A-9893-808E7A28C9F8}"/>
    <hyperlink ref="C93" r:id="rId44" xr:uid="{381B82D9-3C20-48D9-9D60-525FF2639F82}"/>
    <hyperlink ref="C50" r:id="rId45" display="tesoreria@admonyasesorias.com" xr:uid="{B32E6D5F-84C7-4B76-B327-3FED3E9462C7}"/>
    <hyperlink ref="C116" r:id="rId46" xr:uid="{7E61D131-3618-473A-B643-3CF0400DFE7E}"/>
    <hyperlink ref="C108" r:id="rId47" xr:uid="{A99E1B64-D3DA-4C82-A988-6CD026D40F06}"/>
    <hyperlink ref="C195" r:id="rId48" xr:uid="{E2B29AEE-6B78-413B-B407-6F0C8E85E81A}"/>
    <hyperlink ref="C129" r:id="rId49" xr:uid="{D08A084B-2CA2-4171-9E31-A371D4A8CFC8}"/>
    <hyperlink ref="C115" r:id="rId50" display="tesoreria@admonyasesorias.com" xr:uid="{27CFA6BA-1CC0-4910-A132-75F5E853F6CD}"/>
    <hyperlink ref="C191" r:id="rId51" xr:uid="{1E4EA960-F495-44BD-A317-D1FB4E7ACA87}"/>
    <hyperlink ref="C128" r:id="rId52" xr:uid="{7A7F0507-8104-483E-B233-62131498C627}"/>
    <hyperlink ref="C167" r:id="rId53" xr:uid="{9057F44B-DC23-40E0-9E5E-AD3F3418ED1C}"/>
    <hyperlink ref="C170" r:id="rId54" xr:uid="{0F58A274-2254-426A-AE1F-9711E56D781A}"/>
    <hyperlink ref="C4" r:id="rId55" xr:uid="{975074C7-D329-4A87-AF15-99F4DDEC4FF6}"/>
    <hyperlink ref="C5" r:id="rId56" xr:uid="{7518E6CE-6BEE-4A29-95E4-13320BA92763}"/>
    <hyperlink ref="C210" r:id="rId57" xr:uid="{9E3D017F-1BE5-4B2C-B41F-7ADCA8F0DCB4}"/>
    <hyperlink ref="C90" r:id="rId58" xr:uid="{3C8DFB4F-44F9-4F3D-B249-08EEA56DC8C3}"/>
    <hyperlink ref="C119" r:id="rId59" display="tesoreria@admonyasesorias.com" xr:uid="{EBC2489B-E676-4D1A-9343-2B63C968FA2E}"/>
    <hyperlink ref="C94" r:id="rId60" xr:uid="{2C68372A-18C2-4530-92D1-32761F2ACEB3}"/>
    <hyperlink ref="C83" r:id="rId61" xr:uid="{304C9575-65FC-45BF-A91D-7C4D6813F10B}"/>
    <hyperlink ref="C123" r:id="rId62" display="claraarango5@gmail.com" xr:uid="{93DB4388-A736-45F2-BDE0-B7A78AA8FC21}"/>
    <hyperlink ref="C124" r:id="rId63" xr:uid="{1532A571-8BC7-4869-B554-B25FBB3B4AA9}"/>
    <hyperlink ref="C40" r:id="rId64" xr:uid="{9353D1DB-8701-4793-A367-74ACC5897993}"/>
    <hyperlink ref="C163" r:id="rId65" xr:uid="{79C683DC-EC32-40A5-9043-5D8E6851715A}"/>
    <hyperlink ref="C60" r:id="rId66" xr:uid="{B120A9FA-91F9-4741-99EE-7A30DAA01663}"/>
    <hyperlink ref="C81" r:id="rId67" xr:uid="{013E48B9-81FB-49BD-8F2F-84283A6DDCB5}"/>
    <hyperlink ref="C8" r:id="rId68" xr:uid="{0D9D7017-7AED-4577-A93D-82E5EE98FDC3}"/>
    <hyperlink ref="C198" r:id="rId69" xr:uid="{0CF6E299-F1C8-4EDE-8457-441FF4E99135}"/>
    <hyperlink ref="C209" r:id="rId70" xr:uid="{1929F70D-C643-4BD3-9486-76E2F6E3BDD6}"/>
    <hyperlink ref="C177" r:id="rId71" xr:uid="{E8CF30D1-ED00-437E-BF4B-3936C1F235A1}"/>
    <hyperlink ref="C54" r:id="rId72" xr:uid="{4F9C469E-8B2A-43AF-8D30-EDA0F2348AF4}"/>
    <hyperlink ref="C68" r:id="rId73" xr:uid="{63002079-2AFA-4B0E-B666-74CA16E4392F}"/>
    <hyperlink ref="C103" r:id="rId74" xr:uid="{96C2BBD0-7AF6-4C2D-8B88-6ECE4407FF17}"/>
    <hyperlink ref="C178" r:id="rId75" xr:uid="{A3249281-FC58-4EAB-AB3C-D2261CF2B22F}"/>
    <hyperlink ref="C88" r:id="rId76" xr:uid="{4AE03B48-82EE-446E-B59D-494EC0A06782}"/>
    <hyperlink ref="C76" r:id="rId77" xr:uid="{41116DCC-528C-4452-AB3E-6B4954FBFE06}"/>
    <hyperlink ref="C65" r:id="rId78" xr:uid="{9E7006D9-52F2-4DBA-BF91-27428020D437}"/>
    <hyperlink ref="C211" r:id="rId79" xr:uid="{60DDF5C9-068E-4B00-A6C6-694FA2F33A6F}"/>
    <hyperlink ref="C204" r:id="rId80" xr:uid="{808E5ACF-5DCB-4DA3-99C0-DB6359763133}"/>
    <hyperlink ref="C22" r:id="rId81" xr:uid="{D6197FBD-DD88-46BB-9A08-0FDB6E1245A8}"/>
    <hyperlink ref="C127" r:id="rId82" display="tesoreria@caaph.co" xr:uid="{B9370228-3EE5-451D-9ADB-F45E794AC85B}"/>
    <hyperlink ref="C110" r:id="rId83" xr:uid="{4B1127F3-0B2C-4D4D-8CC5-371D12CCD0EE}"/>
    <hyperlink ref="C84" r:id="rId84" xr:uid="{4F2DCC73-C18A-47DC-B73C-6F3779B485E2}"/>
    <hyperlink ref="C182" r:id="rId85" xr:uid="{879E7AEA-6E9E-4A7D-B8A2-3229C5B221C2}"/>
    <hyperlink ref="C194" r:id="rId86" xr:uid="{F9DCC282-BD34-4BFA-8AED-8C1A6AFD10B7}"/>
    <hyperlink ref="C42" r:id="rId87" xr:uid="{7174BCE7-82B2-4828-9410-D1178BD62A87}"/>
    <hyperlink ref="C62" r:id="rId88" xr:uid="{33C0777C-FA68-4FE5-9805-6F689396EB7A}"/>
    <hyperlink ref="C37" r:id="rId89" xr:uid="{1B45C76A-9D81-4B52-8C44-0ED01D8C2797}"/>
    <hyperlink ref="C142" r:id="rId90" display="mailto:facturacion@isc.net.co" xr:uid="{8E9341DC-6A0A-4225-8BF9-860507475A80}"/>
    <hyperlink ref="C18" r:id="rId91" xr:uid="{B38E4232-3728-4430-8FD3-103BA368E00D}"/>
    <hyperlink ref="C160" r:id="rId92" xr:uid="{2A4DD127-3F47-4A3F-BE4C-4B4B75E9559D}"/>
    <hyperlink ref="C159" r:id="rId93" xr:uid="{6D1302A5-5AB6-4DAD-AB1B-A3C74DFDDFD3}"/>
    <hyperlink ref="C213" r:id="rId94" xr:uid="{40F9A1B2-F6E3-42B9-969C-430699946F97}"/>
    <hyperlink ref="C33" r:id="rId95" xr:uid="{3723980E-9579-493F-8433-24F798B35737}"/>
    <hyperlink ref="C186" r:id="rId96" xr:uid="{8CCDA95D-BDA3-4429-82D1-3D3CBF58529E}"/>
    <hyperlink ref="C143" r:id="rId97" xr:uid="{55FF3A6F-5F84-4B0F-A0FF-8C34A8E3B44B}"/>
    <hyperlink ref="C173" r:id="rId98" xr:uid="{1924DA5B-E097-4067-8528-DD2E5C86A200}"/>
    <hyperlink ref="C102" r:id="rId99" xr:uid="{5850A756-7D7F-4C6E-B0A7-C823B2E8E6B3}"/>
    <hyperlink ref="C111" r:id="rId100" xr:uid="{8B36D6C9-B353-4C73-A862-7C1975F654A0}"/>
    <hyperlink ref="C20" r:id="rId101" xr:uid="{52E5A750-1CF6-4C9E-9445-0FEB2AAC59BE}"/>
    <hyperlink ref="C168" r:id="rId102" xr:uid="{1AFCF416-B5A7-4523-BE73-37E38C5F59CA}"/>
    <hyperlink ref="C190" r:id="rId103" xr:uid="{F919C9E0-2AEE-491B-A945-CD4B3492D0DF}"/>
    <hyperlink ref="C193" r:id="rId104" xr:uid="{060ADB8E-A550-44BD-8371-6A6E998C9F1B}"/>
    <hyperlink ref="C58" r:id="rId105" xr:uid="{C8F72C5B-2553-4292-B33E-AC0F06E92F74}"/>
    <hyperlink ref="C156" r:id="rId106" xr:uid="{F66CA3CB-588B-4279-B933-2EC8C50AF8B8}"/>
    <hyperlink ref="C147" r:id="rId107" xr:uid="{8E27E40D-11AF-4BAD-A901-14C82A7B5A54}"/>
    <hyperlink ref="C141" r:id="rId108" display="facturacion@isc.net.co" xr:uid="{ADA60624-4A4A-45BD-A4C8-73AFB1DDA2E5}"/>
    <hyperlink ref="C92" r:id="rId109" xr:uid="{F4B35C4B-2513-4CA6-A019-D31CBB33DAAA}"/>
    <hyperlink ref="C70" r:id="rId110" xr:uid="{6931FB4B-54D4-45D2-89AD-D1BB34F24686}"/>
    <hyperlink ref="C77" r:id="rId111" xr:uid="{53017FAB-E70C-4D8B-8033-04A5C27FB5CD}"/>
  </hyperlinks>
  <pageMargins left="0.7" right="0.7" top="0.75" bottom="0.75" header="0.3" footer="0.3"/>
  <pageSetup orientation="portrait" horizontalDpi="4294967293" verticalDpi="0" r:id="rId11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H89"/>
  <sheetViews>
    <sheetView topLeftCell="A43" zoomScaleNormal="100" workbookViewId="0">
      <selection activeCell="E60" sqref="E60"/>
    </sheetView>
  </sheetViews>
  <sheetFormatPr baseColWidth="10" defaultRowHeight="12.75" x14ac:dyDescent="0.2"/>
  <cols>
    <col min="1" max="1" width="12.140625" style="174" bestFit="1" customWidth="1"/>
    <col min="2" max="2" width="13.42578125" style="180" customWidth="1"/>
    <col min="3" max="3" width="78.7109375" style="25" customWidth="1"/>
    <col min="4" max="4" width="129" style="25" customWidth="1"/>
    <col min="5" max="5" width="17.140625" style="25" customWidth="1"/>
    <col min="6" max="6" width="13.85546875" style="25" customWidth="1"/>
    <col min="7" max="7" width="21" style="204" customWidth="1"/>
    <col min="8" max="8" width="22.5703125" style="25" customWidth="1"/>
    <col min="9" max="16384" width="11.42578125" style="25"/>
  </cols>
  <sheetData>
    <row r="1" spans="1:8" x14ac:dyDescent="0.2">
      <c r="A1" s="213" t="s">
        <v>151</v>
      </c>
      <c r="B1" s="214" t="s">
        <v>283</v>
      </c>
      <c r="C1" s="215" t="s">
        <v>152</v>
      </c>
      <c r="D1" s="215" t="s">
        <v>157</v>
      </c>
      <c r="E1" s="215" t="s">
        <v>158</v>
      </c>
      <c r="F1" s="215" t="s">
        <v>675</v>
      </c>
      <c r="G1" s="215" t="s">
        <v>156</v>
      </c>
    </row>
    <row r="2" spans="1:8" s="220" customFormat="1" x14ac:dyDescent="0.2">
      <c r="A2" s="223">
        <v>45125</v>
      </c>
      <c r="B2" s="224" t="s">
        <v>240</v>
      </c>
      <c r="C2" s="221" t="s">
        <v>358</v>
      </c>
      <c r="D2" s="221" t="s">
        <v>1097</v>
      </c>
      <c r="E2" s="219">
        <v>587704.19999999995</v>
      </c>
      <c r="F2" s="270">
        <f t="shared" ref="F2:F59" si="0">E2*1.19</f>
        <v>699367.99799999991</v>
      </c>
      <c r="G2" s="301" t="s">
        <v>1490</v>
      </c>
    </row>
    <row r="3" spans="1:8" s="220" customFormat="1" x14ac:dyDescent="0.2">
      <c r="A3" s="223">
        <v>45126</v>
      </c>
      <c r="B3" s="224" t="s">
        <v>240</v>
      </c>
      <c r="C3" s="221" t="s">
        <v>358</v>
      </c>
      <c r="D3" s="221" t="s">
        <v>1098</v>
      </c>
      <c r="E3" s="219">
        <v>115000</v>
      </c>
      <c r="F3" s="270">
        <f t="shared" si="0"/>
        <v>136850</v>
      </c>
      <c r="G3" s="301" t="s">
        <v>1490</v>
      </c>
    </row>
    <row r="4" spans="1:8" x14ac:dyDescent="0.2">
      <c r="A4" s="277">
        <v>45126</v>
      </c>
      <c r="B4" s="278" t="s">
        <v>430</v>
      </c>
      <c r="C4" s="279" t="s">
        <v>429</v>
      </c>
      <c r="D4" s="279" t="s">
        <v>1458</v>
      </c>
      <c r="E4" s="280">
        <v>212970</v>
      </c>
      <c r="F4" s="280">
        <v>253434.3</v>
      </c>
      <c r="G4" s="301" t="s">
        <v>1490</v>
      </c>
    </row>
    <row r="5" spans="1:8" s="220" customFormat="1" x14ac:dyDescent="0.2">
      <c r="A5" s="223">
        <v>45131</v>
      </c>
      <c r="B5" s="224" t="s">
        <v>463</v>
      </c>
      <c r="C5" s="221" t="s">
        <v>462</v>
      </c>
      <c r="D5" s="221" t="s">
        <v>1099</v>
      </c>
      <c r="E5" s="219">
        <v>150000</v>
      </c>
      <c r="F5" s="270">
        <f t="shared" si="0"/>
        <v>178500</v>
      </c>
      <c r="G5" s="301" t="s">
        <v>1490</v>
      </c>
    </row>
    <row r="6" spans="1:8" s="220" customFormat="1" x14ac:dyDescent="0.2">
      <c r="A6" s="223">
        <v>45139</v>
      </c>
      <c r="B6" s="225" t="s">
        <v>463</v>
      </c>
      <c r="C6" s="195" t="s">
        <v>462</v>
      </c>
      <c r="D6" s="221" t="s">
        <v>1100</v>
      </c>
      <c r="E6" s="219">
        <v>410000</v>
      </c>
      <c r="F6" s="270">
        <f t="shared" si="0"/>
        <v>487900</v>
      </c>
      <c r="G6" s="301" t="s">
        <v>1490</v>
      </c>
    </row>
    <row r="7" spans="1:8" s="220" customFormat="1" x14ac:dyDescent="0.2">
      <c r="A7" s="223">
        <v>45132</v>
      </c>
      <c r="B7" s="225" t="s">
        <v>448</v>
      </c>
      <c r="C7" s="226" t="s">
        <v>449</v>
      </c>
      <c r="D7" s="221" t="s">
        <v>1101</v>
      </c>
      <c r="E7" s="219">
        <v>930930</v>
      </c>
      <c r="F7" s="270">
        <f t="shared" si="0"/>
        <v>1107806.7</v>
      </c>
      <c r="G7" s="301" t="s">
        <v>1490</v>
      </c>
    </row>
    <row r="8" spans="1:8" s="220" customFormat="1" x14ac:dyDescent="0.2">
      <c r="A8" s="222">
        <v>45132</v>
      </c>
      <c r="B8" s="225" t="s">
        <v>430</v>
      </c>
      <c r="C8" s="226" t="s">
        <v>429</v>
      </c>
      <c r="D8" s="221" t="s">
        <v>1481</v>
      </c>
      <c r="E8" s="219">
        <f>450000*2</f>
        <v>900000</v>
      </c>
      <c r="F8" s="270">
        <f t="shared" si="0"/>
        <v>1071000</v>
      </c>
      <c r="G8" s="301" t="s">
        <v>1490</v>
      </c>
      <c r="H8" s="229"/>
    </row>
    <row r="9" spans="1:8" s="220" customFormat="1" x14ac:dyDescent="0.2">
      <c r="A9" s="222">
        <v>45132</v>
      </c>
      <c r="B9" s="225" t="s">
        <v>253</v>
      </c>
      <c r="C9" s="200" t="s">
        <v>367</v>
      </c>
      <c r="D9" s="221" t="s">
        <v>1459</v>
      </c>
      <c r="E9" s="219">
        <v>750000</v>
      </c>
      <c r="F9" s="270">
        <f t="shared" si="0"/>
        <v>892500</v>
      </c>
      <c r="G9" s="301" t="s">
        <v>1490</v>
      </c>
    </row>
    <row r="10" spans="1:8" s="220" customFormat="1" x14ac:dyDescent="0.2">
      <c r="A10" s="223">
        <v>45134</v>
      </c>
      <c r="B10" s="225" t="s">
        <v>448</v>
      </c>
      <c r="C10" s="226" t="s">
        <v>449</v>
      </c>
      <c r="D10" s="237" t="s">
        <v>1104</v>
      </c>
      <c r="E10" s="219">
        <v>90000</v>
      </c>
      <c r="F10" s="270">
        <f t="shared" si="0"/>
        <v>107100</v>
      </c>
      <c r="G10" s="301" t="s">
        <v>1490</v>
      </c>
    </row>
    <row r="11" spans="1:8" s="220" customFormat="1" x14ac:dyDescent="0.2">
      <c r="A11" s="223">
        <v>45134</v>
      </c>
      <c r="B11" s="224" t="s">
        <v>572</v>
      </c>
      <c r="C11" s="221" t="s">
        <v>571</v>
      </c>
      <c r="D11" s="236" t="s">
        <v>1109</v>
      </c>
      <c r="E11" s="219">
        <v>170000</v>
      </c>
      <c r="F11" s="270">
        <f t="shared" si="0"/>
        <v>202300</v>
      </c>
      <c r="G11" s="301" t="s">
        <v>1490</v>
      </c>
    </row>
    <row r="12" spans="1:8" s="220" customFormat="1" x14ac:dyDescent="0.2">
      <c r="A12" s="222">
        <v>45135</v>
      </c>
      <c r="B12" s="225" t="s">
        <v>460</v>
      </c>
      <c r="C12" s="226" t="s">
        <v>461</v>
      </c>
      <c r="D12" s="221" t="s">
        <v>721</v>
      </c>
      <c r="E12" s="219">
        <v>1245000</v>
      </c>
      <c r="F12" s="270">
        <f t="shared" si="0"/>
        <v>1481550</v>
      </c>
      <c r="G12" s="301" t="s">
        <v>1490</v>
      </c>
      <c r="H12" s="229"/>
    </row>
    <row r="13" spans="1:8" s="220" customFormat="1" x14ac:dyDescent="0.2">
      <c r="A13" s="222">
        <v>45136</v>
      </c>
      <c r="B13" s="225" t="s">
        <v>406</v>
      </c>
      <c r="C13" s="226" t="s">
        <v>405</v>
      </c>
      <c r="D13" s="221" t="s">
        <v>721</v>
      </c>
      <c r="E13" s="219">
        <v>1450000</v>
      </c>
      <c r="F13" s="270">
        <f t="shared" si="0"/>
        <v>1725500</v>
      </c>
      <c r="G13" s="301" t="s">
        <v>1490</v>
      </c>
    </row>
    <row r="14" spans="1:8" s="220" customFormat="1" x14ac:dyDescent="0.2">
      <c r="A14" s="308">
        <v>45138</v>
      </c>
      <c r="B14" s="309" t="s">
        <v>683</v>
      </c>
      <c r="C14" s="310" t="s">
        <v>682</v>
      </c>
      <c r="D14" s="311" t="s">
        <v>721</v>
      </c>
      <c r="E14" s="312">
        <v>150000</v>
      </c>
      <c r="F14" s="313">
        <f t="shared" si="0"/>
        <v>178500</v>
      </c>
      <c r="G14" s="301" t="s">
        <v>1490</v>
      </c>
    </row>
    <row r="15" spans="1:8" s="220" customFormat="1" x14ac:dyDescent="0.2">
      <c r="A15" s="222">
        <v>45138</v>
      </c>
      <c r="B15" s="225" t="s">
        <v>217</v>
      </c>
      <c r="C15" s="226" t="s">
        <v>330</v>
      </c>
      <c r="D15" s="221" t="s">
        <v>721</v>
      </c>
      <c r="E15" s="219">
        <v>839350</v>
      </c>
      <c r="F15" s="270">
        <f t="shared" si="0"/>
        <v>998826.5</v>
      </c>
      <c r="G15" s="301" t="s">
        <v>1490</v>
      </c>
    </row>
    <row r="16" spans="1:8" s="220" customFormat="1" ht="12.75" customHeight="1" x14ac:dyDescent="0.2">
      <c r="A16" s="222">
        <v>45138</v>
      </c>
      <c r="B16" s="225" t="s">
        <v>217</v>
      </c>
      <c r="C16" s="226" t="s">
        <v>330</v>
      </c>
      <c r="D16" s="221" t="s">
        <v>1446</v>
      </c>
      <c r="E16" s="219">
        <v>180000</v>
      </c>
      <c r="F16" s="270">
        <f t="shared" si="0"/>
        <v>214200</v>
      </c>
      <c r="G16" s="301" t="s">
        <v>1490</v>
      </c>
    </row>
    <row r="17" spans="1:8" s="220" customFormat="1" x14ac:dyDescent="0.2">
      <c r="A17" s="222">
        <v>45138</v>
      </c>
      <c r="B17" s="225" t="s">
        <v>206</v>
      </c>
      <c r="C17" s="226" t="s">
        <v>299</v>
      </c>
      <c r="D17" s="221" t="s">
        <v>1447</v>
      </c>
      <c r="E17" s="219">
        <v>588000</v>
      </c>
      <c r="F17" s="270">
        <f t="shared" si="0"/>
        <v>699720</v>
      </c>
      <c r="G17" s="301" t="s">
        <v>1490</v>
      </c>
    </row>
    <row r="18" spans="1:8" s="220" customFormat="1" x14ac:dyDescent="0.2">
      <c r="A18" s="222">
        <v>45139</v>
      </c>
      <c r="B18" s="225" t="s">
        <v>1448</v>
      </c>
      <c r="C18" s="226" t="s">
        <v>299</v>
      </c>
      <c r="D18" s="221" t="s">
        <v>1449</v>
      </c>
      <c r="E18" s="219">
        <v>115000</v>
      </c>
      <c r="F18" s="270">
        <f t="shared" si="0"/>
        <v>136850</v>
      </c>
      <c r="G18" s="301" t="s">
        <v>1490</v>
      </c>
      <c r="H18" s="257"/>
    </row>
    <row r="19" spans="1:8" s="220" customFormat="1" x14ac:dyDescent="0.2">
      <c r="A19" s="222">
        <v>45139</v>
      </c>
      <c r="B19" s="225" t="s">
        <v>234</v>
      </c>
      <c r="C19" s="226" t="s">
        <v>350</v>
      </c>
      <c r="D19" s="221" t="s">
        <v>1450</v>
      </c>
      <c r="E19" s="219">
        <v>250000</v>
      </c>
      <c r="F19" s="270">
        <f t="shared" si="0"/>
        <v>297500</v>
      </c>
      <c r="G19" s="301" t="s">
        <v>1490</v>
      </c>
    </row>
    <row r="20" spans="1:8" s="220" customFormat="1" x14ac:dyDescent="0.2">
      <c r="A20" s="222">
        <v>45139</v>
      </c>
      <c r="B20" s="225" t="s">
        <v>515</v>
      </c>
      <c r="C20" s="226" t="s">
        <v>514</v>
      </c>
      <c r="D20" s="221" t="s">
        <v>721</v>
      </c>
      <c r="E20" s="219">
        <v>378000</v>
      </c>
      <c r="F20" s="270">
        <f t="shared" si="0"/>
        <v>449820</v>
      </c>
      <c r="G20" s="301" t="s">
        <v>1490</v>
      </c>
    </row>
    <row r="21" spans="1:8" s="220" customFormat="1" x14ac:dyDescent="0.2">
      <c r="A21" s="223">
        <v>45140</v>
      </c>
      <c r="B21" s="224" t="s">
        <v>253</v>
      </c>
      <c r="C21" s="197" t="s">
        <v>367</v>
      </c>
      <c r="D21" s="221" t="s">
        <v>1451</v>
      </c>
      <c r="E21" s="219">
        <v>120000</v>
      </c>
      <c r="F21" s="270">
        <f t="shared" si="0"/>
        <v>142800</v>
      </c>
      <c r="G21" s="301" t="s">
        <v>1490</v>
      </c>
    </row>
    <row r="22" spans="1:8" s="220" customFormat="1" x14ac:dyDescent="0.2">
      <c r="A22" s="364">
        <v>45140</v>
      </c>
      <c r="B22" s="362" t="s">
        <v>551</v>
      </c>
      <c r="C22" s="360" t="s">
        <v>552</v>
      </c>
      <c r="D22" s="221" t="s">
        <v>1452</v>
      </c>
      <c r="E22" s="219">
        <v>550000</v>
      </c>
      <c r="F22" s="270">
        <f t="shared" si="0"/>
        <v>654500</v>
      </c>
      <c r="G22" s="301" t="s">
        <v>1490</v>
      </c>
    </row>
    <row r="23" spans="1:8" s="220" customFormat="1" x14ac:dyDescent="0.2">
      <c r="A23" s="369"/>
      <c r="B23" s="368"/>
      <c r="C23" s="367"/>
      <c r="D23" s="221" t="s">
        <v>1453</v>
      </c>
      <c r="E23" s="219">
        <v>250000</v>
      </c>
      <c r="F23" s="270">
        <f t="shared" si="0"/>
        <v>297500</v>
      </c>
      <c r="G23" s="301" t="s">
        <v>1490</v>
      </c>
    </row>
    <row r="24" spans="1:8" s="220" customFormat="1" x14ac:dyDescent="0.2">
      <c r="A24" s="369"/>
      <c r="B24" s="368"/>
      <c r="C24" s="367"/>
      <c r="D24" s="221" t="s">
        <v>1454</v>
      </c>
      <c r="E24" s="219">
        <v>10000</v>
      </c>
      <c r="F24" s="270">
        <f t="shared" si="0"/>
        <v>11900</v>
      </c>
      <c r="G24" s="301" t="s">
        <v>1490</v>
      </c>
      <c r="H24" s="229"/>
    </row>
    <row r="25" spans="1:8" s="220" customFormat="1" x14ac:dyDescent="0.2">
      <c r="A25" s="365"/>
      <c r="B25" s="363"/>
      <c r="C25" s="361"/>
      <c r="D25" s="221" t="s">
        <v>1455</v>
      </c>
      <c r="E25" s="219">
        <v>650000</v>
      </c>
      <c r="F25" s="270">
        <f t="shared" si="0"/>
        <v>773500</v>
      </c>
      <c r="G25" s="301" t="s">
        <v>1490</v>
      </c>
    </row>
    <row r="26" spans="1:8" s="220" customFormat="1" x14ac:dyDescent="0.2">
      <c r="A26" s="223">
        <v>45141</v>
      </c>
      <c r="B26" s="224" t="s">
        <v>379</v>
      </c>
      <c r="C26" s="200" t="s">
        <v>287</v>
      </c>
      <c r="D26" s="221" t="s">
        <v>1457</v>
      </c>
      <c r="E26" s="219">
        <v>150000</v>
      </c>
      <c r="F26" s="219">
        <v>171607.66880000001</v>
      </c>
      <c r="G26" s="301" t="s">
        <v>1490</v>
      </c>
      <c r="H26" s="229"/>
    </row>
    <row r="27" spans="1:8" s="220" customFormat="1" x14ac:dyDescent="0.2">
      <c r="A27" s="223">
        <v>45142</v>
      </c>
      <c r="B27" s="224" t="s">
        <v>206</v>
      </c>
      <c r="C27" s="221" t="s">
        <v>299</v>
      </c>
      <c r="D27" s="221" t="s">
        <v>1456</v>
      </c>
      <c r="E27" s="219">
        <v>110000</v>
      </c>
      <c r="F27" s="270">
        <f t="shared" si="0"/>
        <v>130900</v>
      </c>
      <c r="G27" s="301" t="s">
        <v>1490</v>
      </c>
    </row>
    <row r="28" spans="1:8" s="220" customFormat="1" x14ac:dyDescent="0.2">
      <c r="A28" s="308">
        <v>45143</v>
      </c>
      <c r="B28" s="309" t="s">
        <v>590</v>
      </c>
      <c r="C28" s="314" t="s">
        <v>589</v>
      </c>
      <c r="D28" s="311" t="s">
        <v>1460</v>
      </c>
      <c r="E28" s="312">
        <v>150000</v>
      </c>
      <c r="F28" s="313">
        <f t="shared" si="0"/>
        <v>178500</v>
      </c>
      <c r="G28" s="301" t="s">
        <v>1490</v>
      </c>
    </row>
    <row r="29" spans="1:8" s="220" customFormat="1" x14ac:dyDescent="0.2">
      <c r="A29" s="315">
        <v>45143</v>
      </c>
      <c r="B29" s="316" t="s">
        <v>590</v>
      </c>
      <c r="C29" s="317" t="s">
        <v>589</v>
      </c>
      <c r="D29" s="311" t="s">
        <v>1460</v>
      </c>
      <c r="E29" s="312">
        <v>150000</v>
      </c>
      <c r="F29" s="313">
        <f t="shared" si="0"/>
        <v>178500</v>
      </c>
      <c r="G29" s="301" t="s">
        <v>1490</v>
      </c>
    </row>
    <row r="30" spans="1:8" s="220" customFormat="1" x14ac:dyDescent="0.2">
      <c r="A30" s="318">
        <v>45141</v>
      </c>
      <c r="B30" s="319" t="s">
        <v>435</v>
      </c>
      <c r="C30" s="311" t="s">
        <v>434</v>
      </c>
      <c r="D30" s="311" t="s">
        <v>1463</v>
      </c>
      <c r="E30" s="312">
        <v>150000</v>
      </c>
      <c r="F30" s="313">
        <f t="shared" si="0"/>
        <v>178500</v>
      </c>
      <c r="G30" s="301" t="s">
        <v>1490</v>
      </c>
    </row>
    <row r="31" spans="1:8" s="220" customFormat="1" x14ac:dyDescent="0.2">
      <c r="A31" s="302">
        <v>45143</v>
      </c>
      <c r="B31" s="303" t="s">
        <v>239</v>
      </c>
      <c r="C31" s="298" t="s">
        <v>357</v>
      </c>
      <c r="D31" s="298" t="s">
        <v>1464</v>
      </c>
      <c r="E31" s="299">
        <v>210000</v>
      </c>
      <c r="F31" s="300">
        <f t="shared" si="0"/>
        <v>249900</v>
      </c>
      <c r="G31" s="301" t="s">
        <v>1490</v>
      </c>
      <c r="H31" s="229"/>
    </row>
    <row r="32" spans="1:8" s="220" customFormat="1" x14ac:dyDescent="0.2">
      <c r="A32" s="302">
        <v>45150</v>
      </c>
      <c r="B32" s="303" t="s">
        <v>239</v>
      </c>
      <c r="C32" s="298" t="s">
        <v>357</v>
      </c>
      <c r="D32" s="298" t="s">
        <v>1464</v>
      </c>
      <c r="E32" s="299">
        <v>380000</v>
      </c>
      <c r="F32" s="300">
        <f t="shared" si="0"/>
        <v>452200</v>
      </c>
      <c r="G32" s="301" t="s">
        <v>1490</v>
      </c>
      <c r="H32" s="229"/>
    </row>
    <row r="33" spans="1:8" s="220" customFormat="1" x14ac:dyDescent="0.2">
      <c r="A33" s="295">
        <v>45150</v>
      </c>
      <c r="B33" s="296" t="s">
        <v>1462</v>
      </c>
      <c r="C33" s="297" t="s">
        <v>1461</v>
      </c>
      <c r="D33" s="298" t="s">
        <v>721</v>
      </c>
      <c r="E33" s="299">
        <v>550000</v>
      </c>
      <c r="F33" s="300">
        <f t="shared" si="0"/>
        <v>654500</v>
      </c>
      <c r="G33" s="301" t="s">
        <v>1490</v>
      </c>
      <c r="H33" s="229"/>
    </row>
    <row r="34" spans="1:8" s="220" customFormat="1" x14ac:dyDescent="0.2">
      <c r="A34" s="222">
        <v>45146</v>
      </c>
      <c r="B34" s="225" t="s">
        <v>194</v>
      </c>
      <c r="C34" s="226" t="s">
        <v>458</v>
      </c>
      <c r="D34" s="221" t="s">
        <v>721</v>
      </c>
      <c r="E34" s="219">
        <v>707000</v>
      </c>
      <c r="F34" s="270">
        <f t="shared" si="0"/>
        <v>841330</v>
      </c>
      <c r="G34" s="301" t="s">
        <v>1490</v>
      </c>
    </row>
    <row r="35" spans="1:8" s="220" customFormat="1" x14ac:dyDescent="0.2">
      <c r="A35" s="222">
        <v>45149</v>
      </c>
      <c r="B35" s="294" t="s">
        <v>583</v>
      </c>
      <c r="C35" s="293" t="s">
        <v>585</v>
      </c>
      <c r="D35" s="221" t="s">
        <v>1480</v>
      </c>
      <c r="E35" s="219">
        <v>115000</v>
      </c>
      <c r="F35" s="270">
        <f t="shared" si="0"/>
        <v>136850</v>
      </c>
      <c r="G35" s="301" t="s">
        <v>1490</v>
      </c>
    </row>
    <row r="36" spans="1:8" s="220" customFormat="1" x14ac:dyDescent="0.2">
      <c r="A36" s="308">
        <v>45149</v>
      </c>
      <c r="B36" s="320" t="s">
        <v>596</v>
      </c>
      <c r="C36" s="321" t="s">
        <v>595</v>
      </c>
      <c r="D36" s="311" t="s">
        <v>1465</v>
      </c>
      <c r="E36" s="312">
        <v>250000</v>
      </c>
      <c r="F36" s="313">
        <f t="shared" si="0"/>
        <v>297500</v>
      </c>
      <c r="G36" s="301" t="s">
        <v>1490</v>
      </c>
    </row>
    <row r="37" spans="1:8" s="220" customFormat="1" x14ac:dyDescent="0.2">
      <c r="A37" s="223">
        <v>45149</v>
      </c>
      <c r="B37" s="282" t="s">
        <v>316</v>
      </c>
      <c r="C37" s="283" t="s">
        <v>296</v>
      </c>
      <c r="D37" s="283" t="s">
        <v>721</v>
      </c>
      <c r="E37" s="280">
        <v>1103146</v>
      </c>
      <c r="F37" s="270">
        <f t="shared" si="0"/>
        <v>1312743.74</v>
      </c>
      <c r="G37" s="301" t="s">
        <v>1490</v>
      </c>
      <c r="H37" s="229"/>
    </row>
    <row r="38" spans="1:8" s="220" customFormat="1" x14ac:dyDescent="0.2">
      <c r="A38" s="222">
        <v>45149</v>
      </c>
      <c r="B38" s="251" t="s">
        <v>316</v>
      </c>
      <c r="C38" s="199" t="s">
        <v>296</v>
      </c>
      <c r="D38" s="221" t="s">
        <v>1466</v>
      </c>
      <c r="E38" s="219">
        <v>430000</v>
      </c>
      <c r="F38" s="270">
        <f t="shared" si="0"/>
        <v>511700</v>
      </c>
      <c r="G38" s="301" t="s">
        <v>1490</v>
      </c>
    </row>
    <row r="39" spans="1:8" s="220" customFormat="1" x14ac:dyDescent="0.2">
      <c r="A39" s="222">
        <v>45150</v>
      </c>
      <c r="B39" s="252" t="s">
        <v>448</v>
      </c>
      <c r="C39" s="197" t="s">
        <v>449</v>
      </c>
      <c r="D39" s="221" t="s">
        <v>1467</v>
      </c>
      <c r="E39" s="219">
        <v>180000</v>
      </c>
      <c r="F39" s="270">
        <f t="shared" si="0"/>
        <v>214200</v>
      </c>
      <c r="G39" s="301" t="s">
        <v>1490</v>
      </c>
    </row>
    <row r="40" spans="1:8" s="220" customFormat="1" x14ac:dyDescent="0.2">
      <c r="A40" s="302">
        <v>45150</v>
      </c>
      <c r="B40" s="303" t="s">
        <v>328</v>
      </c>
      <c r="C40" s="298" t="s">
        <v>327</v>
      </c>
      <c r="D40" s="298" t="s">
        <v>1482</v>
      </c>
      <c r="E40" s="299">
        <f>593650*2</f>
        <v>1187300</v>
      </c>
      <c r="F40" s="300">
        <f t="shared" si="0"/>
        <v>1412887</v>
      </c>
      <c r="G40" s="301" t="s">
        <v>1490</v>
      </c>
    </row>
    <row r="41" spans="1:8" s="220" customFormat="1" x14ac:dyDescent="0.2">
      <c r="A41" s="223">
        <v>45152</v>
      </c>
      <c r="B41" s="224" t="s">
        <v>368</v>
      </c>
      <c r="C41" s="221" t="s">
        <v>508</v>
      </c>
      <c r="D41" s="221" t="s">
        <v>1468</v>
      </c>
      <c r="E41" s="219">
        <v>190000</v>
      </c>
      <c r="F41" s="270">
        <f t="shared" si="0"/>
        <v>226100</v>
      </c>
      <c r="G41" s="301" t="s">
        <v>1490</v>
      </c>
    </row>
    <row r="42" spans="1:8" s="220" customFormat="1" x14ac:dyDescent="0.2">
      <c r="A42" s="223">
        <v>45152</v>
      </c>
      <c r="B42" s="224" t="s">
        <v>398</v>
      </c>
      <c r="C42" s="261" t="s">
        <v>302</v>
      </c>
      <c r="D42" s="221" t="s">
        <v>1469</v>
      </c>
      <c r="E42" s="219">
        <v>695000</v>
      </c>
      <c r="F42" s="270">
        <f t="shared" si="0"/>
        <v>827050</v>
      </c>
      <c r="G42" s="301" t="s">
        <v>1490</v>
      </c>
    </row>
    <row r="43" spans="1:8" s="220" customFormat="1" x14ac:dyDescent="0.2">
      <c r="A43" s="285">
        <v>45154</v>
      </c>
      <c r="B43" s="286" t="s">
        <v>438</v>
      </c>
      <c r="C43" s="287" t="s">
        <v>439</v>
      </c>
      <c r="D43" s="287" t="s">
        <v>1478</v>
      </c>
      <c r="E43" s="288">
        <v>470000</v>
      </c>
      <c r="F43" s="288">
        <f t="shared" si="0"/>
        <v>559300</v>
      </c>
      <c r="G43" s="304" t="s">
        <v>1490</v>
      </c>
    </row>
    <row r="44" spans="1:8" s="220" customFormat="1" x14ac:dyDescent="0.2">
      <c r="A44" s="291">
        <v>45154</v>
      </c>
      <c r="B44" s="284" t="s">
        <v>257</v>
      </c>
      <c r="C44" s="292" t="s">
        <v>372</v>
      </c>
      <c r="D44" s="279" t="s">
        <v>1479</v>
      </c>
      <c r="E44" s="280">
        <v>450000</v>
      </c>
      <c r="F44" s="280">
        <f t="shared" si="0"/>
        <v>535500</v>
      </c>
      <c r="G44" s="307" t="s">
        <v>1490</v>
      </c>
    </row>
    <row r="45" spans="1:8" s="220" customFormat="1" x14ac:dyDescent="0.2">
      <c r="A45" s="274">
        <v>45155</v>
      </c>
      <c r="B45" s="275" t="s">
        <v>651</v>
      </c>
      <c r="C45" s="276" t="s">
        <v>652</v>
      </c>
      <c r="D45" s="289" t="s">
        <v>721</v>
      </c>
      <c r="E45" s="290">
        <v>756300</v>
      </c>
      <c r="F45" s="305">
        <f t="shared" si="0"/>
        <v>899997</v>
      </c>
      <c r="G45" s="306" t="s">
        <v>1490</v>
      </c>
    </row>
    <row r="46" spans="1:8" s="220" customFormat="1" x14ac:dyDescent="0.2">
      <c r="A46" s="223">
        <v>45155</v>
      </c>
      <c r="B46" s="224" t="s">
        <v>676</v>
      </c>
      <c r="C46" s="221" t="s">
        <v>677</v>
      </c>
      <c r="D46" s="221" t="s">
        <v>1483</v>
      </c>
      <c r="E46" s="219">
        <f>45000*90</f>
        <v>4050000</v>
      </c>
      <c r="F46" s="288">
        <f t="shared" si="0"/>
        <v>4819500</v>
      </c>
      <c r="G46" s="301" t="s">
        <v>1490</v>
      </c>
    </row>
    <row r="47" spans="1:8" s="220" customFormat="1" x14ac:dyDescent="0.2">
      <c r="A47" s="223">
        <v>45155</v>
      </c>
      <c r="B47" s="282" t="s">
        <v>212</v>
      </c>
      <c r="C47" s="283" t="s">
        <v>318</v>
      </c>
      <c r="D47" s="283" t="s">
        <v>721</v>
      </c>
      <c r="E47" s="219">
        <v>627700</v>
      </c>
      <c r="F47" s="288">
        <f t="shared" si="0"/>
        <v>746963</v>
      </c>
      <c r="G47" s="301" t="s">
        <v>1490</v>
      </c>
    </row>
    <row r="48" spans="1:8" s="220" customFormat="1" x14ac:dyDescent="0.2">
      <c r="A48" s="223">
        <v>45155</v>
      </c>
      <c r="B48" s="224" t="s">
        <v>1484</v>
      </c>
      <c r="C48" s="221" t="s">
        <v>1485</v>
      </c>
      <c r="D48" s="220" t="s">
        <v>1486</v>
      </c>
      <c r="E48" s="219">
        <v>5350000</v>
      </c>
      <c r="F48" s="219">
        <f t="shared" si="0"/>
        <v>6366500</v>
      </c>
      <c r="G48" s="301" t="s">
        <v>1490</v>
      </c>
    </row>
    <row r="49" spans="1:8" x14ac:dyDescent="0.2">
      <c r="A49" s="223">
        <v>45155</v>
      </c>
      <c r="B49" s="224" t="s">
        <v>476</v>
      </c>
      <c r="C49" s="221" t="s">
        <v>1487</v>
      </c>
      <c r="D49" s="221" t="s">
        <v>1488</v>
      </c>
      <c r="E49" s="219">
        <v>1265000</v>
      </c>
      <c r="F49" s="219">
        <f t="shared" si="0"/>
        <v>1505350</v>
      </c>
      <c r="G49" s="301" t="s">
        <v>1490</v>
      </c>
    </row>
    <row r="50" spans="1:8" s="220" customFormat="1" ht="15.75" x14ac:dyDescent="0.25">
      <c r="A50" s="302">
        <v>45155</v>
      </c>
      <c r="B50" s="224" t="s">
        <v>313</v>
      </c>
      <c r="C50" s="221" t="s">
        <v>292</v>
      </c>
      <c r="D50" s="221" t="s">
        <v>1489</v>
      </c>
      <c r="E50" s="219">
        <v>280000</v>
      </c>
      <c r="F50" s="219">
        <f t="shared" si="0"/>
        <v>333200</v>
      </c>
      <c r="G50" s="301" t="s">
        <v>1490</v>
      </c>
      <c r="H50" s="263" t="s">
        <v>1495</v>
      </c>
    </row>
    <row r="51" spans="1:8" x14ac:dyDescent="0.2">
      <c r="A51" s="223">
        <v>45145</v>
      </c>
      <c r="B51" s="225" t="s">
        <v>250</v>
      </c>
      <c r="C51" s="226" t="s">
        <v>365</v>
      </c>
      <c r="D51" s="221" t="s">
        <v>1491</v>
      </c>
      <c r="E51" s="219">
        <v>315000</v>
      </c>
      <c r="F51" s="219">
        <f t="shared" si="0"/>
        <v>374850</v>
      </c>
      <c r="G51" s="301" t="s">
        <v>1490</v>
      </c>
    </row>
    <row r="52" spans="1:8" x14ac:dyDescent="0.2">
      <c r="A52" s="223">
        <v>45144</v>
      </c>
      <c r="B52" s="224" t="s">
        <v>438</v>
      </c>
      <c r="C52" s="221" t="s">
        <v>439</v>
      </c>
      <c r="D52" s="221" t="s">
        <v>1492</v>
      </c>
      <c r="E52" s="219">
        <v>115000</v>
      </c>
      <c r="F52" s="219">
        <f t="shared" si="0"/>
        <v>136850</v>
      </c>
      <c r="G52" s="301" t="s">
        <v>1490</v>
      </c>
    </row>
    <row r="53" spans="1:8" x14ac:dyDescent="0.2">
      <c r="A53" s="223">
        <v>45150</v>
      </c>
      <c r="B53" s="224" t="s">
        <v>463</v>
      </c>
      <c r="C53" s="221" t="s">
        <v>462</v>
      </c>
      <c r="D53" s="221" t="s">
        <v>1493</v>
      </c>
      <c r="E53" s="219">
        <v>115000</v>
      </c>
      <c r="F53" s="219">
        <f t="shared" si="0"/>
        <v>136850</v>
      </c>
      <c r="G53" s="301" t="s">
        <v>1490</v>
      </c>
    </row>
    <row r="54" spans="1:8" x14ac:dyDescent="0.2">
      <c r="A54" s="302">
        <v>45144</v>
      </c>
      <c r="B54" s="224" t="s">
        <v>574</v>
      </c>
      <c r="C54" s="221" t="s">
        <v>573</v>
      </c>
      <c r="D54" s="221" t="s">
        <v>1494</v>
      </c>
      <c r="E54" s="219">
        <v>115000</v>
      </c>
      <c r="F54" s="219">
        <f t="shared" si="0"/>
        <v>136850</v>
      </c>
      <c r="G54" s="301" t="s">
        <v>1490</v>
      </c>
      <c r="H54" s="263" t="s">
        <v>1496</v>
      </c>
    </row>
    <row r="55" spans="1:8" x14ac:dyDescent="0.2">
      <c r="A55" s="302">
        <v>45156</v>
      </c>
      <c r="B55" s="224" t="s">
        <v>658</v>
      </c>
      <c r="C55" s="221" t="s">
        <v>657</v>
      </c>
      <c r="D55" s="221" t="s">
        <v>1497</v>
      </c>
      <c r="E55" s="219">
        <v>777000</v>
      </c>
      <c r="F55" s="219">
        <f t="shared" si="0"/>
        <v>924630</v>
      </c>
      <c r="G55" s="301" t="s">
        <v>1490</v>
      </c>
      <c r="H55" s="263" t="s">
        <v>1498</v>
      </c>
    </row>
    <row r="56" spans="1:8" x14ac:dyDescent="0.2">
      <c r="A56" s="366">
        <v>45156</v>
      </c>
      <c r="B56" s="371" t="s">
        <v>597</v>
      </c>
      <c r="C56" s="370" t="s">
        <v>598</v>
      </c>
      <c r="D56" s="221" t="s">
        <v>1499</v>
      </c>
      <c r="E56" s="219">
        <v>91605</v>
      </c>
      <c r="F56" s="219">
        <f t="shared" si="0"/>
        <v>109009.95</v>
      </c>
      <c r="G56" s="255"/>
    </row>
    <row r="57" spans="1:8" x14ac:dyDescent="0.2">
      <c r="A57" s="365"/>
      <c r="B57" s="363"/>
      <c r="C57" s="361"/>
      <c r="D57" s="221" t="s">
        <v>1502</v>
      </c>
      <c r="E57" s="219">
        <v>139047.63250000001</v>
      </c>
      <c r="F57" s="219">
        <f t="shared" si="0"/>
        <v>165466.68267499999</v>
      </c>
      <c r="G57" s="255"/>
    </row>
    <row r="58" spans="1:8" x14ac:dyDescent="0.2">
      <c r="A58" s="223">
        <v>45156</v>
      </c>
      <c r="B58" s="224" t="s">
        <v>716</v>
      </c>
      <c r="C58" s="221" t="s">
        <v>715</v>
      </c>
      <c r="D58" s="221" t="s">
        <v>1503</v>
      </c>
      <c r="E58" s="219">
        <v>528989.16669999994</v>
      </c>
      <c r="F58" s="219">
        <f t="shared" si="0"/>
        <v>629497.10837299994</v>
      </c>
      <c r="G58" s="255"/>
    </row>
    <row r="59" spans="1:8" x14ac:dyDescent="0.2">
      <c r="A59" s="223">
        <v>45156</v>
      </c>
      <c r="B59" s="224" t="s">
        <v>651</v>
      </c>
      <c r="C59" s="221" t="s">
        <v>652</v>
      </c>
      <c r="D59" s="221" t="s">
        <v>1504</v>
      </c>
      <c r="E59" s="219">
        <v>593140.13500000001</v>
      </c>
      <c r="F59" s="219">
        <f t="shared" si="0"/>
        <v>705836.76064999995</v>
      </c>
      <c r="G59" s="255"/>
    </row>
    <row r="60" spans="1:8" x14ac:dyDescent="0.2">
      <c r="A60" s="223"/>
      <c r="B60" s="224"/>
      <c r="C60" s="221"/>
      <c r="D60" s="221"/>
      <c r="E60" s="219"/>
      <c r="F60" s="219"/>
      <c r="G60" s="255"/>
    </row>
    <row r="61" spans="1:8" x14ac:dyDescent="0.2">
      <c r="A61" s="223"/>
      <c r="B61" s="224"/>
      <c r="C61" s="221"/>
      <c r="D61" s="221"/>
      <c r="E61" s="219"/>
      <c r="F61" s="219"/>
      <c r="G61" s="255"/>
    </row>
    <row r="62" spans="1:8" x14ac:dyDescent="0.2">
      <c r="A62" s="364"/>
      <c r="B62" s="362"/>
      <c r="C62" s="360"/>
      <c r="D62" s="221"/>
      <c r="E62" s="219"/>
      <c r="F62" s="219"/>
      <c r="G62" s="255"/>
    </row>
    <row r="63" spans="1:8" x14ac:dyDescent="0.2">
      <c r="A63" s="365"/>
      <c r="B63" s="363"/>
      <c r="C63" s="361"/>
      <c r="D63" s="221"/>
      <c r="E63" s="219"/>
      <c r="F63" s="219"/>
      <c r="G63" s="255"/>
    </row>
    <row r="64" spans="1:8" s="263" customFormat="1" x14ac:dyDescent="0.2">
      <c r="A64" s="223"/>
      <c r="B64" s="224"/>
      <c r="C64" s="221"/>
      <c r="D64" s="221"/>
      <c r="E64" s="219"/>
      <c r="F64" s="219"/>
      <c r="G64" s="255"/>
    </row>
    <row r="65" spans="1:7" x14ac:dyDescent="0.2">
      <c r="A65" s="223"/>
      <c r="B65" s="224"/>
      <c r="C65" s="221"/>
      <c r="D65" s="221"/>
      <c r="E65" s="219"/>
      <c r="F65" s="219"/>
      <c r="G65" s="255"/>
    </row>
    <row r="66" spans="1:7" x14ac:dyDescent="0.2">
      <c r="A66" s="223"/>
      <c r="B66" s="224"/>
      <c r="C66" s="221"/>
      <c r="D66" s="221"/>
      <c r="E66" s="219"/>
      <c r="F66" s="219"/>
      <c r="G66" s="255"/>
    </row>
    <row r="67" spans="1:7" x14ac:dyDescent="0.2">
      <c r="A67" s="364"/>
      <c r="B67" s="362"/>
      <c r="C67" s="360"/>
      <c r="D67" s="221"/>
      <c r="E67" s="219"/>
      <c r="F67" s="219"/>
      <c r="G67" s="255"/>
    </row>
    <row r="68" spans="1:7" x14ac:dyDescent="0.2">
      <c r="A68" s="365"/>
      <c r="B68" s="363"/>
      <c r="C68" s="361"/>
      <c r="D68" s="221"/>
      <c r="E68" s="219"/>
      <c r="F68" s="219"/>
      <c r="G68" s="255"/>
    </row>
    <row r="69" spans="1:7" x14ac:dyDescent="0.2">
      <c r="A69" s="223"/>
      <c r="B69" s="224"/>
      <c r="C69" s="221"/>
      <c r="D69" s="221"/>
      <c r="E69" s="219"/>
      <c r="F69" s="219"/>
      <c r="G69" s="255"/>
    </row>
    <row r="70" spans="1:7" x14ac:dyDescent="0.2">
      <c r="A70" s="223"/>
      <c r="B70" s="224"/>
      <c r="C70" s="221"/>
      <c r="D70" s="221"/>
      <c r="E70" s="219"/>
      <c r="F70" s="219"/>
      <c r="G70" s="255"/>
    </row>
    <row r="71" spans="1:7" x14ac:dyDescent="0.2">
      <c r="A71" s="223"/>
      <c r="B71" s="224"/>
      <c r="C71" s="221"/>
      <c r="D71" s="221"/>
      <c r="E71" s="219"/>
      <c r="F71" s="219"/>
      <c r="G71" s="255"/>
    </row>
    <row r="72" spans="1:7" x14ac:dyDescent="0.2">
      <c r="A72" s="364"/>
      <c r="B72" s="362"/>
      <c r="C72" s="360"/>
      <c r="D72" s="221"/>
      <c r="E72" s="219"/>
      <c r="F72" s="219"/>
      <c r="G72" s="255"/>
    </row>
    <row r="73" spans="1:7" x14ac:dyDescent="0.2">
      <c r="A73" s="365"/>
      <c r="B73" s="363"/>
      <c r="C73" s="361"/>
      <c r="D73" s="221"/>
      <c r="E73" s="219"/>
      <c r="F73" s="219"/>
      <c r="G73" s="255"/>
    </row>
    <row r="74" spans="1:7" x14ac:dyDescent="0.2">
      <c r="A74" s="223"/>
      <c r="B74" s="224"/>
      <c r="C74" s="221"/>
      <c r="D74" s="221"/>
      <c r="E74" s="219"/>
      <c r="F74" s="219"/>
      <c r="G74" s="255"/>
    </row>
    <row r="75" spans="1:7" x14ac:dyDescent="0.2">
      <c r="A75" s="223"/>
      <c r="B75" s="224"/>
      <c r="C75" s="221"/>
      <c r="D75" s="221"/>
      <c r="E75" s="219"/>
      <c r="F75" s="219"/>
      <c r="G75" s="255"/>
    </row>
    <row r="76" spans="1:7" x14ac:dyDescent="0.2">
      <c r="A76" s="223"/>
      <c r="B76" s="224"/>
      <c r="C76" s="221"/>
      <c r="D76" s="221"/>
      <c r="E76" s="219"/>
      <c r="F76" s="219"/>
      <c r="G76" s="255"/>
    </row>
    <row r="77" spans="1:7" x14ac:dyDescent="0.2">
      <c r="A77" s="223"/>
      <c r="B77" s="224"/>
      <c r="C77" s="221"/>
      <c r="D77" s="221"/>
      <c r="E77" s="219"/>
      <c r="F77" s="219"/>
      <c r="G77" s="255"/>
    </row>
    <row r="78" spans="1:7" x14ac:dyDescent="0.2">
      <c r="A78" s="223"/>
      <c r="B78" s="224"/>
      <c r="C78" s="221"/>
      <c r="D78" s="221"/>
      <c r="E78" s="219"/>
      <c r="F78" s="219"/>
      <c r="G78" s="255"/>
    </row>
    <row r="79" spans="1:7" x14ac:dyDescent="0.2">
      <c r="A79" s="223"/>
      <c r="B79" s="224"/>
      <c r="C79" s="221"/>
      <c r="D79" s="221"/>
      <c r="E79" s="219"/>
      <c r="F79" s="219"/>
      <c r="G79" s="255"/>
    </row>
    <row r="80" spans="1:7" x14ac:dyDescent="0.2">
      <c r="A80" s="223"/>
      <c r="B80" s="224"/>
      <c r="C80" s="221"/>
      <c r="D80" s="221"/>
      <c r="E80" s="219"/>
      <c r="F80" s="219"/>
      <c r="G80" s="255"/>
    </row>
    <row r="81" spans="1:7" x14ac:dyDescent="0.2">
      <c r="A81" s="223"/>
      <c r="B81" s="224"/>
      <c r="C81" s="221"/>
      <c r="D81" s="221"/>
      <c r="E81" s="219"/>
      <c r="F81" s="219"/>
      <c r="G81" s="255"/>
    </row>
    <row r="82" spans="1:7" x14ac:dyDescent="0.2">
      <c r="A82" s="223"/>
      <c r="B82" s="224"/>
      <c r="C82" s="221"/>
      <c r="D82" s="221"/>
      <c r="E82" s="219"/>
      <c r="F82" s="219"/>
      <c r="G82" s="255"/>
    </row>
    <row r="83" spans="1:7" x14ac:dyDescent="0.2">
      <c r="A83" s="223"/>
      <c r="B83" s="224"/>
      <c r="C83" s="221"/>
      <c r="D83" s="221"/>
      <c r="E83" s="219"/>
      <c r="F83" s="219"/>
      <c r="G83" s="255"/>
    </row>
    <row r="84" spans="1:7" x14ac:dyDescent="0.2">
      <c r="A84" s="223"/>
      <c r="B84" s="224"/>
      <c r="C84" s="221"/>
      <c r="D84" s="221"/>
      <c r="E84" s="219"/>
      <c r="F84" s="219"/>
      <c r="G84" s="255"/>
    </row>
    <row r="85" spans="1:7" x14ac:dyDescent="0.2">
      <c r="A85" s="223"/>
      <c r="B85" s="224"/>
      <c r="C85" s="221"/>
      <c r="D85" s="221"/>
      <c r="E85" s="219"/>
      <c r="F85" s="219"/>
      <c r="G85" s="255"/>
    </row>
    <row r="86" spans="1:7" x14ac:dyDescent="0.2">
      <c r="A86" s="223"/>
      <c r="B86" s="224"/>
      <c r="C86" s="221"/>
      <c r="D86" s="221"/>
      <c r="E86" s="219"/>
      <c r="F86" s="219"/>
      <c r="G86" s="255"/>
    </row>
    <row r="87" spans="1:7" x14ac:dyDescent="0.2">
      <c r="A87" s="223"/>
      <c r="B87" s="224"/>
      <c r="C87" s="221"/>
      <c r="D87" s="221"/>
      <c r="E87" s="219"/>
      <c r="F87" s="219"/>
      <c r="G87" s="255"/>
    </row>
    <row r="89" spans="1:7" x14ac:dyDescent="0.2">
      <c r="E89" s="262">
        <f>SUM(E2:E87)</f>
        <v>33838182.134199999</v>
      </c>
    </row>
  </sheetData>
  <autoFilter ref="A1:G80" xr:uid="{00000000-0001-0000-0300-000000000000}"/>
  <sortState xmlns:xlrd2="http://schemas.microsoft.com/office/spreadsheetml/2017/richdata2" ref="A5:G15">
    <sortCondition ref="A5:A15"/>
  </sortState>
  <mergeCells count="15">
    <mergeCell ref="A56:A57"/>
    <mergeCell ref="A62:A63"/>
    <mergeCell ref="B62:B63"/>
    <mergeCell ref="C62:C63"/>
    <mergeCell ref="C22:C25"/>
    <mergeCell ref="B22:B25"/>
    <mergeCell ref="A22:A25"/>
    <mergeCell ref="C56:C57"/>
    <mergeCell ref="B56:B57"/>
    <mergeCell ref="C72:C73"/>
    <mergeCell ref="B72:B73"/>
    <mergeCell ref="A72:A73"/>
    <mergeCell ref="C67:C68"/>
    <mergeCell ref="B67:B68"/>
    <mergeCell ref="A67:A68"/>
  </mergeCells>
  <phoneticPr fontId="36" type="noConversion"/>
  <conditionalFormatting sqref="B35">
    <cfRule type="duplicateValues" dxfId="0" priority="7"/>
  </conditionalFormatting>
  <pageMargins left="0.7" right="0.7" top="0.75" bottom="0.75" header="0.3" footer="0.3"/>
  <pageSetup orientation="portrait" horizontalDpi="4294967293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06E94-8DCB-4278-BB56-71443DC50041}">
  <sheetPr codeName="Hoja5"/>
  <dimension ref="B2:C20"/>
  <sheetViews>
    <sheetView workbookViewId="0">
      <selection activeCell="C20" sqref="C20"/>
    </sheetView>
  </sheetViews>
  <sheetFormatPr baseColWidth="10" defaultRowHeight="12.75" x14ac:dyDescent="0.2"/>
  <cols>
    <col min="2" max="2" width="40.5703125" customWidth="1"/>
    <col min="3" max="3" width="47.5703125" customWidth="1"/>
  </cols>
  <sheetData>
    <row r="2" spans="2:3" ht="13.5" thickBot="1" x14ac:dyDescent="0.25"/>
    <row r="3" spans="2:3" ht="13.5" thickBot="1" x14ac:dyDescent="0.25">
      <c r="B3" s="240" t="s">
        <v>459</v>
      </c>
      <c r="C3" s="241" t="s">
        <v>276</v>
      </c>
    </row>
    <row r="4" spans="2:3" ht="13.5" thickBot="1" x14ac:dyDescent="0.25">
      <c r="B4" s="242" t="s">
        <v>280</v>
      </c>
      <c r="C4" s="243" t="s">
        <v>664</v>
      </c>
    </row>
    <row r="5" spans="2:3" ht="13.5" thickBot="1" x14ac:dyDescent="0.25">
      <c r="B5" s="242" t="s">
        <v>275</v>
      </c>
      <c r="C5" s="243" t="s">
        <v>665</v>
      </c>
    </row>
    <row r="6" spans="2:3" ht="13.5" thickBot="1" x14ac:dyDescent="0.25">
      <c r="B6" s="242" t="s">
        <v>281</v>
      </c>
      <c r="C6" s="243" t="s">
        <v>666</v>
      </c>
    </row>
    <row r="7" spans="2:3" x14ac:dyDescent="0.2">
      <c r="B7" s="244"/>
      <c r="C7" s="244"/>
    </row>
    <row r="8" spans="2:3" x14ac:dyDescent="0.2">
      <c r="B8" s="372" t="s">
        <v>667</v>
      </c>
      <c r="C8" s="372"/>
    </row>
    <row r="9" spans="2:3" ht="13.5" thickBot="1" x14ac:dyDescent="0.25">
      <c r="B9" s="244"/>
      <c r="C9" s="244"/>
    </row>
    <row r="10" spans="2:3" ht="13.5" thickBot="1" x14ac:dyDescent="0.25">
      <c r="B10" s="245" t="s">
        <v>129</v>
      </c>
      <c r="C10" s="246" t="s">
        <v>131</v>
      </c>
    </row>
    <row r="11" spans="2:3" ht="13.5" thickBot="1" x14ac:dyDescent="0.25">
      <c r="B11" s="247" t="s">
        <v>668</v>
      </c>
      <c r="C11" s="249">
        <v>16300</v>
      </c>
    </row>
    <row r="12" spans="2:3" ht="13.5" thickBot="1" x14ac:dyDescent="0.25">
      <c r="B12" s="244"/>
      <c r="C12" s="244"/>
    </row>
    <row r="13" spans="2:3" ht="13.5" thickBot="1" x14ac:dyDescent="0.25">
      <c r="B13" s="245" t="s">
        <v>669</v>
      </c>
      <c r="C13" s="248" t="s">
        <v>670</v>
      </c>
    </row>
    <row r="14" spans="2:3" ht="13.5" thickBot="1" x14ac:dyDescent="0.25">
      <c r="B14" s="247" t="s">
        <v>668</v>
      </c>
      <c r="C14" s="250">
        <v>21000</v>
      </c>
    </row>
    <row r="15" spans="2:3" ht="13.5" thickBot="1" x14ac:dyDescent="0.25">
      <c r="B15" s="244"/>
      <c r="C15" s="244"/>
    </row>
    <row r="16" spans="2:3" ht="13.5" thickBot="1" x14ac:dyDescent="0.25">
      <c r="B16" s="245" t="s">
        <v>694</v>
      </c>
      <c r="C16" s="248" t="s">
        <v>670</v>
      </c>
    </row>
    <row r="17" spans="2:3" ht="13.5" thickBot="1" x14ac:dyDescent="0.25">
      <c r="B17" s="247" t="s">
        <v>668</v>
      </c>
      <c r="C17" s="250">
        <v>29000</v>
      </c>
    </row>
    <row r="18" spans="2:3" ht="13.5" thickBot="1" x14ac:dyDescent="0.25">
      <c r="B18" s="244"/>
      <c r="C18" s="244"/>
    </row>
    <row r="19" spans="2:3" ht="13.5" thickBot="1" x14ac:dyDescent="0.25">
      <c r="B19" s="245" t="s">
        <v>671</v>
      </c>
      <c r="C19" s="248" t="s">
        <v>670</v>
      </c>
    </row>
    <row r="20" spans="2:3" ht="13.5" thickBot="1" x14ac:dyDescent="0.25">
      <c r="B20" s="247" t="s">
        <v>668</v>
      </c>
      <c r="C20" s="250">
        <v>33000</v>
      </c>
    </row>
  </sheetData>
  <mergeCells count="1">
    <mergeCell ref="B8:C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Hoja1</vt:lpstr>
      <vt:lpstr>CAPTURA</vt:lpstr>
      <vt:lpstr>Precios</vt:lpstr>
      <vt:lpstr>IC</vt:lpstr>
      <vt:lpstr>DATOS</vt:lpstr>
      <vt:lpstr>VR  HE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leoluna</cp:lastModifiedBy>
  <cp:lastPrinted>2023-04-19T19:32:38Z</cp:lastPrinted>
  <dcterms:created xsi:type="dcterms:W3CDTF">2008-02-07T10:34:08Z</dcterms:created>
  <dcterms:modified xsi:type="dcterms:W3CDTF">2023-08-23T11:29:24Z</dcterms:modified>
</cp:coreProperties>
</file>